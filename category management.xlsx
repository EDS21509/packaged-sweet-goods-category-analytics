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ummary Dashboard" sheetId="3" r:id="rId6"/>
  </sheets>
  <definedNames>
    <definedName hidden="1" localSheetId="0" name="_xlnm._FilterDatabase">Sheet1!$A$1:$L$201</definedName>
    <definedName hidden="1" localSheetId="0" name="Z_24EA5BAC_0139_4544_9BCB_07C967DB54D5_.wvu.FilterData">Sheet1!$A$1:$L$201</definedName>
  </definedNames>
  <calcPr/>
  <customWorkbookViews>
    <customWorkbookView activeSheetId="0" maximized="1" windowHeight="0" windowWidth="0" guid="{24EA5BAC-0139-4544-9BCB-07C967DB54D5}" name="Filter 1"/>
  </customWorkbookViews>
</workbook>
</file>

<file path=xl/sharedStrings.xml><?xml version="1.0" encoding="utf-8"?>
<sst xmlns="http://schemas.openxmlformats.org/spreadsheetml/2006/main" count="1257" uniqueCount="81">
  <si>
    <t>Week Ending Date</t>
  </si>
  <si>
    <t>Retailer / Channel</t>
  </si>
  <si>
    <t>Region</t>
  </si>
  <si>
    <t>Brand</t>
  </si>
  <si>
    <t>Sub-Category</t>
  </si>
  <si>
    <t>Product Description</t>
  </si>
  <si>
    <t>Units Sold</t>
  </si>
  <si>
    <t>Average Price Per Unit</t>
  </si>
  <si>
    <t>Total Dollar Sales</t>
  </si>
  <si>
    <t>Promotional Status</t>
  </si>
  <si>
    <t>Baseline Dollar Sales</t>
  </si>
  <si>
    <t>Incremental Dollar Sales</t>
  </si>
  <si>
    <t>Walmart</t>
  </si>
  <si>
    <t>Southeast</t>
  </si>
  <si>
    <t>Little Debbie</t>
  </si>
  <si>
    <t>Snack Cakes</t>
  </si>
  <si>
    <t>Oatmeal Cream Pies</t>
  </si>
  <si>
    <t>Non-Promoted</t>
  </si>
  <si>
    <t>Kroger</t>
  </si>
  <si>
    <t>Midwest</t>
  </si>
  <si>
    <t>Hostess</t>
  </si>
  <si>
    <t>Twinkies</t>
  </si>
  <si>
    <t>Target</t>
  </si>
  <si>
    <t>Northeast</t>
  </si>
  <si>
    <t>Drake's</t>
  </si>
  <si>
    <t>Ring Dings</t>
  </si>
  <si>
    <t>Convenience</t>
  </si>
  <si>
    <t>Pies</t>
  </si>
  <si>
    <t>Honey Buns</t>
  </si>
  <si>
    <t>Rolls</t>
  </si>
  <si>
    <t>Swiss Rolls</t>
  </si>
  <si>
    <t>Price Cut</t>
  </si>
  <si>
    <t>Seasonal</t>
  </si>
  <si>
    <t>Pumpkin Delights</t>
  </si>
  <si>
    <t>Ho Hos</t>
  </si>
  <si>
    <t>West</t>
  </si>
  <si>
    <t>Private Label</t>
  </si>
  <si>
    <t>Glazed Apple Pies</t>
  </si>
  <si>
    <t>Cosmic Brownies</t>
  </si>
  <si>
    <t>CupCakes</t>
  </si>
  <si>
    <t>Zebra Cakes</t>
  </si>
  <si>
    <t>Feature &amp; Display</t>
  </si>
  <si>
    <t>Chocolate Snack Cakes</t>
  </si>
  <si>
    <t>Nutty Buddy</t>
  </si>
  <si>
    <t>Devil Dogs</t>
  </si>
  <si>
    <t>Ding Dongs</t>
  </si>
  <si>
    <t>Strawberry Shortcake Rolls</t>
  </si>
  <si>
    <t>Coffee Cakes</t>
  </si>
  <si>
    <t>ScaryCakes</t>
  </si>
  <si>
    <t>Mini Swiss Rolls</t>
  </si>
  <si>
    <t>Christmas Tree Cakes</t>
  </si>
  <si>
    <t>Donettes</t>
  </si>
  <si>
    <t>Yodels</t>
  </si>
  <si>
    <t>Vanilla Creme Cakes</t>
  </si>
  <si>
    <t>Apple Fruit Pies</t>
  </si>
  <si>
    <t>Be My Valentine Cakes</t>
  </si>
  <si>
    <t>Spring Butterfly Cakes</t>
  </si>
  <si>
    <t>Easter Basket Cakes</t>
  </si>
  <si>
    <t>Red White &amp; Blue Cakes</t>
  </si>
  <si>
    <t>Category Management Summary Dashboard</t>
  </si>
  <si>
    <t>Nielsen Scan Data Analysis • Performance Overview &amp; Promotional Effectiveness</t>
  </si>
  <si>
    <t>Brand Market Share</t>
  </si>
  <si>
    <t>Promotional Lift Analysis (Little Debbie)</t>
  </si>
  <si>
    <t>% Dollar Share</t>
  </si>
  <si>
    <t>Total Units Sold</t>
  </si>
  <si>
    <t>% Unit Share</t>
  </si>
  <si>
    <t>Avg Incremental Sales</t>
  </si>
  <si>
    <t>Total Incremental Sales</t>
  </si>
  <si>
    <t>All Little Debbie Activity</t>
  </si>
  <si>
    <t>Total Category</t>
  </si>
  <si>
    <t>Top 5 Performing Little Debbie SKUs</t>
  </si>
  <si>
    <t>Regional Revenue Breakdown by Retail Channel</t>
  </si>
  <si>
    <t>Rank</t>
  </si>
  <si>
    <t>% of Brand Sales</t>
  </si>
  <si>
    <t>Total Regional Sales</t>
  </si>
  <si>
    <t>#1</t>
  </si>
  <si>
    <t>#2</t>
  </si>
  <si>
    <t>#3</t>
  </si>
  <si>
    <t>#4</t>
  </si>
  <si>
    <t>#5</t>
  </si>
  <si>
    <t>Total Channel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</si>
</sst>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$#,##0.00"/>
    <numFmt numFmtId="166" formatCode="$#,##0.00;($#,##0.00);&quot;$0.00&quot;"/>
    <numFmt numFmtId="167" formatCode="$#,##0"/>
    <numFmt numFmtId="168" formatCode="0.0%"/>
  </numFmts>
  <fonts count="10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F2937"/>
      <name val="Roboto"/>
    </font>
    <font>
      <b/>
      <sz val="16.0"/>
      <color rgb="FF1E3989"/>
      <name val="Roboto"/>
    </font>
    <font>
      <sz val="10.0"/>
      <color rgb="FF495468"/>
      <name val="Roboto"/>
    </font>
    <font>
      <b/>
      <sz val="11.0"/>
      <color rgb="FFFFFFFF"/>
      <name val="Roboto"/>
    </font>
    <font/>
    <font>
      <color theme="1"/>
      <name val="Arial"/>
      <scheme val="minor"/>
    </font>
    <font>
      <b/>
      <sz val="9.0"/>
      <color rgb="FF1E293A"/>
      <name val="Roboto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4F7FA"/>
        <bgColor rgb="FFF4F7FA"/>
      </patternFill>
    </fill>
    <fill>
      <patternFill patternType="solid">
        <fgColor rgb="FF1E3989"/>
        <bgColor rgb="FF1E3989"/>
      </patternFill>
    </fill>
    <fill>
      <patternFill patternType="solid">
        <fgColor rgb="FFE1E8EF"/>
        <bgColor rgb="FFE1E8EF"/>
      </patternFill>
    </fill>
    <fill>
      <patternFill patternType="solid">
        <fgColor rgb="FFF6F8FB"/>
        <bgColor rgb="FFF6F8FB"/>
      </patternFill>
    </fill>
    <fill>
      <patternFill patternType="solid">
        <fgColor rgb="FFF8F9FB"/>
        <bgColor rgb="FFF8F9FB"/>
      </patternFill>
    </fill>
  </fills>
  <borders count="16">
    <border/>
    <border>
      <left style="medium">
        <color rgb="FF93A2B8"/>
      </left>
      <top style="medium">
        <color rgb="FF93A2B8"/>
      </top>
      <bottom style="thin">
        <color rgb="FFE1E8EF"/>
      </bottom>
    </border>
    <border>
      <top style="medium">
        <color rgb="FF93A2B8"/>
      </top>
      <bottom style="thin">
        <color rgb="FFE1E8EF"/>
      </bottom>
    </border>
    <border>
      <right style="medium">
        <color rgb="FF93A2B8"/>
      </right>
      <top style="medium">
        <color rgb="FF93A2B8"/>
      </top>
      <bottom style="thin">
        <color rgb="FFE1E8EF"/>
      </bottom>
    </border>
    <border>
      <left style="medium">
        <color rgb="FF93A2B8"/>
      </left>
      <top style="thin">
        <color rgb="FFE1E8EF"/>
      </top>
      <bottom style="thin">
        <color rgb="FFE1E8EF"/>
      </bottom>
    </border>
    <border>
      <top style="thin">
        <color rgb="FFE1E8EF"/>
      </top>
      <bottom style="thin">
        <color rgb="FFE1E8EF"/>
      </bottom>
    </border>
    <border>
      <right style="medium">
        <color rgb="FF93A2B8"/>
      </right>
      <top style="thin">
        <color rgb="FFE1E8EF"/>
      </top>
      <bottom style="thin">
        <color rgb="FFE1E8EF"/>
      </bottom>
    </border>
    <border>
      <left style="medium">
        <color rgb="FF93A2B8"/>
      </left>
      <top style="thin">
        <color rgb="FFE1E8EF"/>
      </top>
    </border>
    <border>
      <top style="thin">
        <color rgb="FFE1E8EF"/>
      </top>
    </border>
    <border>
      <right style="medium">
        <color rgb="FF93A2B8"/>
      </right>
      <top style="thin">
        <color rgb="FFE1E8EF"/>
      </top>
    </border>
    <border>
      <left style="medium">
        <color rgb="FF93A2B8"/>
      </left>
      <top style="thin">
        <color rgb="FF93A2B8"/>
      </top>
      <bottom style="double">
        <color rgb="FF1E3989"/>
      </bottom>
    </border>
    <border>
      <top style="thin">
        <color rgb="FF93A2B8"/>
      </top>
      <bottom style="double">
        <color rgb="FF1E3989"/>
      </bottom>
    </border>
    <border>
      <right style="medium">
        <color rgb="FF93A2B8"/>
      </right>
      <top style="thin">
        <color rgb="FF93A2B8"/>
      </top>
      <bottom style="double">
        <color rgb="FF1E3989"/>
      </bottom>
    </border>
    <border>
      <left style="medium">
        <color rgb="FF93A2B8"/>
      </left>
      <top style="thin">
        <color rgb="FFE1E8EF"/>
      </top>
      <bottom style="medium">
        <color rgb="FF93A2B8"/>
      </bottom>
    </border>
    <border>
      <top style="thin">
        <color rgb="FFE1E8EF"/>
      </top>
      <bottom style="medium">
        <color rgb="FF93A2B8"/>
      </bottom>
    </border>
    <border>
      <right style="medium">
        <color rgb="FF93A2B8"/>
      </right>
      <top style="thin">
        <color rgb="FFE1E8EF"/>
      </top>
      <bottom style="medium">
        <color rgb="FF93A2B8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ill="1" applyFont="1">
      <alignment horizontal="right" readingOrder="0" vertical="center"/>
    </xf>
    <xf borderId="0" fillId="3" fontId="2" numFmtId="164" xfId="0" applyAlignment="1" applyFill="1" applyFont="1" applyNumberFormat="1">
      <alignment horizontal="center" readingOrder="0" vertical="center"/>
    </xf>
    <xf borderId="0" fillId="3" fontId="2" numFmtId="0" xfId="0" applyAlignment="1" applyFill="1" applyFont="1">
      <alignment horizontal="left" readingOrder="0" vertical="center"/>
    </xf>
    <xf borderId="0" fillId="3" fontId="2" numFmtId="3" xfId="0" applyAlignment="1" applyFill="1" applyFont="1" applyNumberFormat="1">
      <alignment horizontal="right" readingOrder="0" vertical="center"/>
    </xf>
    <xf borderId="0" fillId="3" fontId="2" numFmtId="165" xfId="0" applyAlignment="1" applyFill="1" applyFont="1" applyNumberFormat="1">
      <alignment horizontal="right" readingOrder="0" vertical="center"/>
    </xf>
    <xf borderId="0" fillId="3" fontId="2" numFmtId="165" xfId="0" applyAlignment="1" applyFill="1" applyFont="1" applyNumberFormat="1">
      <alignment horizontal="right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166" xfId="0" applyAlignment="1" applyFill="1" applyFont="1" applyNumberFormat="1">
      <alignment horizontal="right" vertical="center"/>
    </xf>
    <xf borderId="0" fillId="4" fontId="2" numFmtId="164" xfId="0" applyAlignment="1" applyFill="1" applyFont="1" applyNumberFormat="1">
      <alignment horizontal="center" readingOrder="0" vertical="center"/>
    </xf>
    <xf borderId="0" fillId="4" fontId="2" numFmtId="0" xfId="0" applyAlignment="1" applyFill="1" applyFont="1">
      <alignment horizontal="left" readingOrder="0" vertical="center"/>
    </xf>
    <xf borderId="0" fillId="4" fontId="2" numFmtId="3" xfId="0" applyAlignment="1" applyFill="1" applyFont="1" applyNumberFormat="1">
      <alignment horizontal="right" readingOrder="0" vertical="center"/>
    </xf>
    <xf borderId="0" fillId="4" fontId="2" numFmtId="165" xfId="0" applyAlignment="1" applyFill="1" applyFont="1" applyNumberFormat="1">
      <alignment horizontal="right" readingOrder="0" vertical="center"/>
    </xf>
    <xf borderId="0" fillId="4" fontId="2" numFmtId="165" xfId="0" applyAlignment="1" applyFill="1" applyFont="1" applyNumberFormat="1">
      <alignment horizontal="right" vertical="center"/>
    </xf>
    <xf borderId="0" fillId="4" fontId="2" numFmtId="0" xfId="0" applyAlignment="1" applyFill="1" applyFont="1">
      <alignment horizontal="center" readingOrder="0" vertical="center"/>
    </xf>
    <xf borderId="0" fillId="4" fontId="2" numFmtId="166" xfId="0" applyAlignment="1" applyFill="1" applyFont="1" applyNumberFormat="1">
      <alignment horizontal="right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5" fontId="5" numFmtId="0" xfId="0" applyAlignment="1" applyBorder="1" applyFill="1" applyFont="1">
      <alignment horizontal="left" readingOrder="0" vertical="center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vertical="center"/>
    </xf>
    <xf borderId="4" fillId="6" fontId="8" numFmtId="0" xfId="0" applyAlignment="1" applyBorder="1" applyFill="1" applyFont="1">
      <alignment readingOrder="0" vertical="center"/>
    </xf>
    <xf borderId="5" fillId="6" fontId="8" numFmtId="0" xfId="0" applyAlignment="1" applyBorder="1" applyFill="1" applyFont="1">
      <alignment horizontal="right" readingOrder="0" vertical="center"/>
    </xf>
    <xf borderId="6" fillId="6" fontId="8" numFmtId="0" xfId="0" applyAlignment="1" applyBorder="1" applyFill="1" applyFont="1">
      <alignment horizontal="right" readingOrder="0" vertical="center"/>
    </xf>
    <xf borderId="4" fillId="0" fontId="7" numFmtId="0" xfId="0" applyAlignment="1" applyBorder="1" applyFont="1">
      <alignment readingOrder="0" vertical="center"/>
    </xf>
    <xf borderId="5" fillId="0" fontId="7" numFmtId="167" xfId="0" applyAlignment="1" applyBorder="1" applyFont="1" applyNumberFormat="1">
      <alignment horizontal="right" vertical="center"/>
    </xf>
    <xf borderId="5" fillId="0" fontId="7" numFmtId="168" xfId="0" applyAlignment="1" applyBorder="1" applyFont="1" applyNumberFormat="1">
      <alignment horizontal="right" vertical="center"/>
    </xf>
    <xf borderId="5" fillId="0" fontId="7" numFmtId="3" xfId="0" applyAlignment="1" applyBorder="1" applyFont="1" applyNumberFormat="1">
      <alignment horizontal="right" vertical="center"/>
    </xf>
    <xf borderId="6" fillId="0" fontId="7" numFmtId="168" xfId="0" applyAlignment="1" applyBorder="1" applyFont="1" applyNumberFormat="1">
      <alignment horizontal="right" vertical="center"/>
    </xf>
    <xf borderId="5" fillId="0" fontId="7" numFmtId="165" xfId="0" applyAlignment="1" applyBorder="1" applyFont="1" applyNumberFormat="1">
      <alignment horizontal="right" vertical="center"/>
    </xf>
    <xf borderId="6" fillId="0" fontId="7" numFmtId="3" xfId="0" applyAlignment="1" applyBorder="1" applyFont="1" applyNumberFormat="1">
      <alignment horizontal="right" vertical="center"/>
    </xf>
    <xf borderId="4" fillId="7" fontId="7" numFmtId="0" xfId="0" applyAlignment="1" applyBorder="1" applyFill="1" applyFont="1">
      <alignment readingOrder="0" vertical="center"/>
    </xf>
    <xf borderId="5" fillId="7" fontId="7" numFmtId="167" xfId="0" applyAlignment="1" applyBorder="1" applyFill="1" applyFont="1" applyNumberFormat="1">
      <alignment horizontal="right" vertical="center"/>
    </xf>
    <xf borderId="5" fillId="7" fontId="7" numFmtId="168" xfId="0" applyAlignment="1" applyBorder="1" applyFill="1" applyFont="1" applyNumberFormat="1">
      <alignment horizontal="right" vertical="center"/>
    </xf>
    <xf borderId="5" fillId="7" fontId="7" numFmtId="3" xfId="0" applyAlignment="1" applyBorder="1" applyFill="1" applyFont="1" applyNumberFormat="1">
      <alignment horizontal="right" vertical="center"/>
    </xf>
    <xf borderId="6" fillId="7" fontId="7" numFmtId="168" xfId="0" applyAlignment="1" applyBorder="1" applyFill="1" applyFont="1" applyNumberFormat="1">
      <alignment horizontal="right" vertical="center"/>
    </xf>
    <xf borderId="5" fillId="7" fontId="7" numFmtId="165" xfId="0" applyAlignment="1" applyBorder="1" applyFill="1" applyFont="1" applyNumberFormat="1">
      <alignment horizontal="right" vertical="center"/>
    </xf>
    <xf borderId="6" fillId="7" fontId="7" numFmtId="3" xfId="0" applyAlignment="1" applyBorder="1" applyFill="1" applyFont="1" applyNumberFormat="1">
      <alignment horizontal="right" vertical="center"/>
    </xf>
    <xf borderId="7" fillId="0" fontId="7" numFmtId="0" xfId="0" applyAlignment="1" applyBorder="1" applyFont="1">
      <alignment readingOrder="0" vertical="center"/>
    </xf>
    <xf borderId="8" fillId="0" fontId="7" numFmtId="165" xfId="0" applyAlignment="1" applyBorder="1" applyFont="1" applyNumberFormat="1">
      <alignment horizontal="right" vertical="center"/>
    </xf>
    <xf borderId="8" fillId="0" fontId="7" numFmtId="167" xfId="0" applyAlignment="1" applyBorder="1" applyFont="1" applyNumberFormat="1">
      <alignment horizontal="right" vertical="center"/>
    </xf>
    <xf borderId="9" fillId="0" fontId="7" numFmtId="3" xfId="0" applyAlignment="1" applyBorder="1" applyFont="1" applyNumberFormat="1">
      <alignment horizontal="right" vertical="center"/>
    </xf>
    <xf borderId="7" fillId="7" fontId="7" numFmtId="0" xfId="0" applyAlignment="1" applyBorder="1" applyFill="1" applyFont="1">
      <alignment readingOrder="0" vertical="center"/>
    </xf>
    <xf borderId="8" fillId="7" fontId="7" numFmtId="167" xfId="0" applyAlignment="1" applyBorder="1" applyFill="1" applyFont="1" applyNumberFormat="1">
      <alignment horizontal="right" vertical="center"/>
    </xf>
    <xf borderId="8" fillId="7" fontId="7" numFmtId="168" xfId="0" applyAlignment="1" applyBorder="1" applyFill="1" applyFont="1" applyNumberFormat="1">
      <alignment horizontal="right" vertical="center"/>
    </xf>
    <xf borderId="8" fillId="7" fontId="7" numFmtId="3" xfId="0" applyAlignment="1" applyBorder="1" applyFill="1" applyFont="1" applyNumberFormat="1">
      <alignment horizontal="right" vertical="center"/>
    </xf>
    <xf borderId="9" fillId="7" fontId="7" numFmtId="168" xfId="0" applyAlignment="1" applyBorder="1" applyFill="1" applyFont="1" applyNumberFormat="1">
      <alignment horizontal="right" vertical="center"/>
    </xf>
    <xf borderId="10" fillId="8" fontId="9" numFmtId="0" xfId="0" applyAlignment="1" applyBorder="1" applyFill="1" applyFont="1">
      <alignment readingOrder="0" vertical="center"/>
    </xf>
    <xf borderId="11" fillId="8" fontId="9" numFmtId="165" xfId="0" applyAlignment="1" applyBorder="1" applyFill="1" applyFont="1" applyNumberFormat="1">
      <alignment horizontal="right" vertical="center"/>
    </xf>
    <xf borderId="11" fillId="8" fontId="9" numFmtId="167" xfId="0" applyAlignment="1" applyBorder="1" applyFill="1" applyFont="1" applyNumberFormat="1">
      <alignment horizontal="right" vertical="center"/>
    </xf>
    <xf borderId="12" fillId="8" fontId="9" numFmtId="3" xfId="0" applyAlignment="1" applyBorder="1" applyFill="1" applyFont="1" applyNumberFormat="1">
      <alignment horizontal="right" vertical="center"/>
    </xf>
    <xf borderId="11" fillId="8" fontId="9" numFmtId="168" xfId="0" applyAlignment="1" applyBorder="1" applyFill="1" applyFont="1" applyNumberFormat="1">
      <alignment horizontal="right" vertical="center"/>
    </xf>
    <xf borderId="11" fillId="8" fontId="9" numFmtId="3" xfId="0" applyAlignment="1" applyBorder="1" applyFill="1" applyFont="1" applyNumberFormat="1">
      <alignment horizontal="right" vertical="center"/>
    </xf>
    <xf borderId="12" fillId="8" fontId="9" numFmtId="168" xfId="0" applyAlignment="1" applyBorder="1" applyFill="1" applyFont="1" applyNumberFormat="1">
      <alignment horizontal="right" vertical="center"/>
    </xf>
    <xf borderId="4" fillId="6" fontId="8" numFmtId="0" xfId="0" applyAlignment="1" applyBorder="1" applyFill="1" applyFont="1">
      <alignment horizontal="center" readingOrder="0" vertical="center"/>
    </xf>
    <xf borderId="5" fillId="6" fontId="8" numFmtId="0" xfId="0" applyAlignment="1" applyBorder="1" applyFill="1" applyFont="1">
      <alignment readingOrder="0" vertical="center"/>
    </xf>
    <xf borderId="4" fillId="0" fontId="9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vertical="center"/>
    </xf>
    <xf borderId="6" fillId="0" fontId="7" numFmtId="167" xfId="0" applyAlignment="1" applyBorder="1" applyFont="1" applyNumberFormat="1">
      <alignment horizontal="right" vertical="center"/>
    </xf>
    <xf borderId="4" fillId="7" fontId="9" numFmtId="0" xfId="0" applyAlignment="1" applyBorder="1" applyFill="1" applyFont="1">
      <alignment horizontal="center" readingOrder="0" vertical="center"/>
    </xf>
    <xf borderId="5" fillId="7" fontId="7" numFmtId="0" xfId="0" applyAlignment="1" applyBorder="1" applyFill="1" applyFont="1">
      <alignment vertical="center"/>
    </xf>
    <xf borderId="6" fillId="7" fontId="7" numFmtId="167" xfId="0" applyAlignment="1" applyBorder="1" applyFill="1" applyFont="1" applyNumberFormat="1">
      <alignment horizontal="right" vertical="center"/>
    </xf>
    <xf borderId="9" fillId="7" fontId="7" numFmtId="167" xfId="0" applyAlignment="1" applyBorder="1" applyFill="1" applyFont="1" applyNumberFormat="1">
      <alignment horizontal="right" vertical="center"/>
    </xf>
    <xf borderId="13" fillId="0" fontId="9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vertical="center"/>
    </xf>
    <xf borderId="14" fillId="0" fontId="7" numFmtId="167" xfId="0" applyAlignment="1" applyBorder="1" applyFont="1" applyNumberFormat="1">
      <alignment horizontal="right" vertical="center"/>
    </xf>
    <xf borderId="14" fillId="0" fontId="7" numFmtId="3" xfId="0" applyAlignment="1" applyBorder="1" applyFont="1" applyNumberFormat="1">
      <alignment horizontal="right" vertical="center"/>
    </xf>
    <xf borderId="15" fillId="0" fontId="7" numFmtId="168" xfId="0" applyAlignment="1" applyBorder="1" applyFont="1" applyNumberFormat="1">
      <alignment horizontal="right" vertical="center"/>
    </xf>
    <xf borderId="12" fillId="8" fontId="9" numFmtId="167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7.13"/>
    <col customWidth="1" min="3" max="3" width="8.75"/>
    <col customWidth="1" min="4" max="4" width="10.25"/>
    <col customWidth="1" min="5" max="5" width="13.75"/>
    <col customWidth="1" min="6" max="6" width="20.38"/>
    <col customWidth="1" min="7" max="7" width="11.25"/>
    <col customWidth="1" min="8" max="8" width="20.38"/>
    <col customWidth="1" min="9" max="9" width="16.88"/>
    <col customWidth="1" min="10" max="10" width="18.25"/>
    <col customWidth="1" min="11" max="11" width="19.5"/>
    <col customWidth="1" min="12" max="12" width="22.13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</row>
    <row r="2" ht="16.5" customHeight="1">
      <c r="A2" s="4">
        <v>45948.0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6">
        <v>12450.0</v>
      </c>
      <c r="H2" s="7">
        <v>2.49</v>
      </c>
      <c r="I2" s="8">
        <f t="shared" ref="I2:I201" si="1">G2*H2</f>
        <v>31000.5</v>
      </c>
      <c r="J2" s="9" t="s">
        <v>17</v>
      </c>
      <c r="K2" s="7">
        <v>31000.5</v>
      </c>
      <c r="L2" s="10">
        <f t="shared" ref="L2:L201" si="2">I2-K2</f>
        <v>0</v>
      </c>
    </row>
    <row r="3" ht="16.5" customHeight="1">
      <c r="A3" s="11">
        <v>45948.0</v>
      </c>
      <c r="B3" s="12" t="s">
        <v>18</v>
      </c>
      <c r="C3" s="12" t="s">
        <v>19</v>
      </c>
      <c r="D3" s="12" t="s">
        <v>20</v>
      </c>
      <c r="E3" s="12" t="s">
        <v>15</v>
      </c>
      <c r="F3" s="12" t="s">
        <v>21</v>
      </c>
      <c r="G3" s="13">
        <v>4820.0</v>
      </c>
      <c r="H3" s="14">
        <v>3.79</v>
      </c>
      <c r="I3" s="15">
        <f t="shared" si="1"/>
        <v>18267.8</v>
      </c>
      <c r="J3" s="16" t="s">
        <v>17</v>
      </c>
      <c r="K3" s="14">
        <v>18267.8</v>
      </c>
      <c r="L3" s="17">
        <f t="shared" si="2"/>
        <v>0</v>
      </c>
    </row>
    <row r="4" ht="16.5" customHeight="1">
      <c r="A4" s="4">
        <v>45948.0</v>
      </c>
      <c r="B4" s="5" t="s">
        <v>22</v>
      </c>
      <c r="C4" s="5" t="s">
        <v>23</v>
      </c>
      <c r="D4" s="5" t="s">
        <v>24</v>
      </c>
      <c r="E4" s="5" t="s">
        <v>15</v>
      </c>
      <c r="F4" s="5" t="s">
        <v>25</v>
      </c>
      <c r="G4" s="6">
        <v>3150.0</v>
      </c>
      <c r="H4" s="7">
        <v>3.99</v>
      </c>
      <c r="I4" s="8">
        <f t="shared" si="1"/>
        <v>12568.5</v>
      </c>
      <c r="J4" s="9" t="s">
        <v>17</v>
      </c>
      <c r="K4" s="7">
        <v>12568.5</v>
      </c>
      <c r="L4" s="10">
        <f t="shared" si="2"/>
        <v>0</v>
      </c>
    </row>
    <row r="5" ht="16.5" customHeight="1">
      <c r="A5" s="11">
        <v>45948.0</v>
      </c>
      <c r="B5" s="12" t="s">
        <v>26</v>
      </c>
      <c r="C5" s="12" t="s">
        <v>13</v>
      </c>
      <c r="D5" s="12" t="s">
        <v>14</v>
      </c>
      <c r="E5" s="12" t="s">
        <v>27</v>
      </c>
      <c r="F5" s="12" t="s">
        <v>28</v>
      </c>
      <c r="G5" s="13">
        <v>6850.0</v>
      </c>
      <c r="H5" s="14">
        <v>1.89</v>
      </c>
      <c r="I5" s="15">
        <f t="shared" si="1"/>
        <v>12946.5</v>
      </c>
      <c r="J5" s="16" t="s">
        <v>17</v>
      </c>
      <c r="K5" s="14">
        <v>12946.5</v>
      </c>
      <c r="L5" s="17">
        <f t="shared" si="2"/>
        <v>0</v>
      </c>
    </row>
    <row r="6" ht="16.5" customHeight="1">
      <c r="A6" s="4">
        <v>45955.0</v>
      </c>
      <c r="B6" s="5" t="s">
        <v>12</v>
      </c>
      <c r="C6" s="5" t="s">
        <v>13</v>
      </c>
      <c r="D6" s="5" t="s">
        <v>14</v>
      </c>
      <c r="E6" s="5" t="s">
        <v>29</v>
      </c>
      <c r="F6" s="5" t="s">
        <v>30</v>
      </c>
      <c r="G6" s="6">
        <v>14800.0</v>
      </c>
      <c r="H6" s="7">
        <v>2.19</v>
      </c>
      <c r="I6" s="8">
        <f t="shared" si="1"/>
        <v>32412</v>
      </c>
      <c r="J6" s="9" t="s">
        <v>31</v>
      </c>
      <c r="K6" s="7">
        <v>25800.0</v>
      </c>
      <c r="L6" s="10">
        <f t="shared" si="2"/>
        <v>6612</v>
      </c>
    </row>
    <row r="7" ht="16.5" customHeight="1">
      <c r="A7" s="11">
        <v>45955.0</v>
      </c>
      <c r="B7" s="12" t="s">
        <v>18</v>
      </c>
      <c r="C7" s="12" t="s">
        <v>13</v>
      </c>
      <c r="D7" s="12" t="s">
        <v>14</v>
      </c>
      <c r="E7" s="12" t="s">
        <v>32</v>
      </c>
      <c r="F7" s="12" t="s">
        <v>33</v>
      </c>
      <c r="G7" s="13">
        <v>11200.0</v>
      </c>
      <c r="H7" s="14">
        <v>2.69</v>
      </c>
      <c r="I7" s="15">
        <f t="shared" si="1"/>
        <v>30128</v>
      </c>
      <c r="J7" s="16" t="s">
        <v>17</v>
      </c>
      <c r="K7" s="14">
        <v>30128.0</v>
      </c>
      <c r="L7" s="17">
        <f t="shared" si="2"/>
        <v>0</v>
      </c>
    </row>
    <row r="8" ht="16.5" customHeight="1">
      <c r="A8" s="4">
        <v>45955.0</v>
      </c>
      <c r="B8" s="5" t="s">
        <v>22</v>
      </c>
      <c r="C8" s="5" t="s">
        <v>19</v>
      </c>
      <c r="D8" s="5" t="s">
        <v>20</v>
      </c>
      <c r="E8" s="5" t="s">
        <v>29</v>
      </c>
      <c r="F8" s="5" t="s">
        <v>34</v>
      </c>
      <c r="G8" s="6">
        <v>3650.0</v>
      </c>
      <c r="H8" s="7">
        <v>3.89</v>
      </c>
      <c r="I8" s="8">
        <f t="shared" si="1"/>
        <v>14198.5</v>
      </c>
      <c r="J8" s="9" t="s">
        <v>17</v>
      </c>
      <c r="K8" s="7">
        <v>14198.5</v>
      </c>
      <c r="L8" s="10">
        <f t="shared" si="2"/>
        <v>0</v>
      </c>
    </row>
    <row r="9" ht="16.5" customHeight="1">
      <c r="A9" s="11">
        <v>45955.0</v>
      </c>
      <c r="B9" s="12" t="s">
        <v>26</v>
      </c>
      <c r="C9" s="12" t="s">
        <v>35</v>
      </c>
      <c r="D9" s="12" t="s">
        <v>36</v>
      </c>
      <c r="E9" s="12" t="s">
        <v>27</v>
      </c>
      <c r="F9" s="12" t="s">
        <v>37</v>
      </c>
      <c r="G9" s="13">
        <v>1950.0</v>
      </c>
      <c r="H9" s="14">
        <v>1.69</v>
      </c>
      <c r="I9" s="15">
        <f t="shared" si="1"/>
        <v>3295.5</v>
      </c>
      <c r="J9" s="16" t="s">
        <v>17</v>
      </c>
      <c r="K9" s="14">
        <v>3295.5</v>
      </c>
      <c r="L9" s="17">
        <f t="shared" si="2"/>
        <v>0</v>
      </c>
    </row>
    <row r="10" ht="16.5" customHeight="1">
      <c r="A10" s="4">
        <v>45962.0</v>
      </c>
      <c r="B10" s="5" t="s">
        <v>12</v>
      </c>
      <c r="C10" s="5" t="s">
        <v>19</v>
      </c>
      <c r="D10" s="5" t="s">
        <v>14</v>
      </c>
      <c r="E10" s="5" t="s">
        <v>15</v>
      </c>
      <c r="F10" s="5" t="s">
        <v>38</v>
      </c>
      <c r="G10" s="6">
        <v>6200.0</v>
      </c>
      <c r="H10" s="7">
        <v>2.49</v>
      </c>
      <c r="I10" s="8">
        <f t="shared" si="1"/>
        <v>15438</v>
      </c>
      <c r="J10" s="9" t="s">
        <v>17</v>
      </c>
      <c r="K10" s="7">
        <v>15438.0</v>
      </c>
      <c r="L10" s="10">
        <f t="shared" si="2"/>
        <v>0</v>
      </c>
    </row>
    <row r="11" ht="16.5" customHeight="1">
      <c r="A11" s="11">
        <v>45962.0</v>
      </c>
      <c r="B11" s="12" t="s">
        <v>12</v>
      </c>
      <c r="C11" s="12" t="s">
        <v>13</v>
      </c>
      <c r="D11" s="12" t="s">
        <v>20</v>
      </c>
      <c r="E11" s="12" t="s">
        <v>15</v>
      </c>
      <c r="F11" s="12" t="s">
        <v>39</v>
      </c>
      <c r="G11" s="13">
        <v>7800.0</v>
      </c>
      <c r="H11" s="14">
        <v>3.49</v>
      </c>
      <c r="I11" s="15">
        <f t="shared" si="1"/>
        <v>27222</v>
      </c>
      <c r="J11" s="16" t="s">
        <v>31</v>
      </c>
      <c r="K11" s="14">
        <v>22100.0</v>
      </c>
      <c r="L11" s="17">
        <f t="shared" si="2"/>
        <v>5122</v>
      </c>
    </row>
    <row r="12" ht="16.5" customHeight="1">
      <c r="A12" s="4">
        <v>45962.0</v>
      </c>
      <c r="B12" s="5" t="s">
        <v>18</v>
      </c>
      <c r="C12" s="5" t="s">
        <v>13</v>
      </c>
      <c r="D12" s="5" t="s">
        <v>14</v>
      </c>
      <c r="E12" s="5" t="s">
        <v>15</v>
      </c>
      <c r="F12" s="5" t="s">
        <v>40</v>
      </c>
      <c r="G12" s="6">
        <v>13900.0</v>
      </c>
      <c r="H12" s="7">
        <v>2.19</v>
      </c>
      <c r="I12" s="8">
        <f t="shared" si="1"/>
        <v>30441</v>
      </c>
      <c r="J12" s="9" t="s">
        <v>41</v>
      </c>
      <c r="K12" s="7">
        <v>21500.0</v>
      </c>
      <c r="L12" s="10">
        <f t="shared" si="2"/>
        <v>8941</v>
      </c>
    </row>
    <row r="13" ht="16.5" customHeight="1">
      <c r="A13" s="11">
        <v>45962.0</v>
      </c>
      <c r="B13" s="12" t="s">
        <v>22</v>
      </c>
      <c r="C13" s="12" t="s">
        <v>35</v>
      </c>
      <c r="D13" s="12" t="s">
        <v>36</v>
      </c>
      <c r="E13" s="12" t="s">
        <v>15</v>
      </c>
      <c r="F13" s="12" t="s">
        <v>42</v>
      </c>
      <c r="G13" s="13">
        <v>2400.0</v>
      </c>
      <c r="H13" s="14">
        <v>1.99</v>
      </c>
      <c r="I13" s="15">
        <f t="shared" si="1"/>
        <v>4776</v>
      </c>
      <c r="J13" s="16" t="s">
        <v>17</v>
      </c>
      <c r="K13" s="14">
        <v>4776.0</v>
      </c>
      <c r="L13" s="17">
        <f t="shared" si="2"/>
        <v>0</v>
      </c>
    </row>
    <row r="14" ht="16.5" customHeight="1">
      <c r="A14" s="4">
        <v>45969.0</v>
      </c>
      <c r="B14" s="5" t="s">
        <v>12</v>
      </c>
      <c r="C14" s="5" t="s">
        <v>13</v>
      </c>
      <c r="D14" s="5" t="s">
        <v>14</v>
      </c>
      <c r="E14" s="5" t="s">
        <v>15</v>
      </c>
      <c r="F14" s="5" t="s">
        <v>43</v>
      </c>
      <c r="G14" s="6">
        <v>15400.0</v>
      </c>
      <c r="H14" s="7">
        <v>2.19</v>
      </c>
      <c r="I14" s="8">
        <f t="shared" si="1"/>
        <v>33726</v>
      </c>
      <c r="J14" s="9" t="s">
        <v>41</v>
      </c>
      <c r="K14" s="7">
        <v>24200.0</v>
      </c>
      <c r="L14" s="10">
        <f t="shared" si="2"/>
        <v>9526</v>
      </c>
    </row>
    <row r="15" ht="16.5" customHeight="1">
      <c r="A15" s="11">
        <v>45969.0</v>
      </c>
      <c r="B15" s="12" t="s">
        <v>18</v>
      </c>
      <c r="C15" s="12" t="s">
        <v>19</v>
      </c>
      <c r="D15" s="12" t="s">
        <v>24</v>
      </c>
      <c r="E15" s="12" t="s">
        <v>15</v>
      </c>
      <c r="F15" s="12" t="s">
        <v>44</v>
      </c>
      <c r="G15" s="13">
        <v>2850.0</v>
      </c>
      <c r="H15" s="14">
        <v>4.19</v>
      </c>
      <c r="I15" s="15">
        <f t="shared" si="1"/>
        <v>11941.5</v>
      </c>
      <c r="J15" s="16" t="s">
        <v>17</v>
      </c>
      <c r="K15" s="14">
        <v>11941.5</v>
      </c>
      <c r="L15" s="17">
        <f t="shared" si="2"/>
        <v>0</v>
      </c>
    </row>
    <row r="16" ht="16.5" customHeight="1">
      <c r="A16" s="4">
        <v>45969.0</v>
      </c>
      <c r="B16" s="5" t="s">
        <v>26</v>
      </c>
      <c r="C16" s="5" t="s">
        <v>13</v>
      </c>
      <c r="D16" s="5" t="s">
        <v>14</v>
      </c>
      <c r="E16" s="5" t="s">
        <v>27</v>
      </c>
      <c r="F16" s="5" t="s">
        <v>28</v>
      </c>
      <c r="G16" s="6">
        <v>7100.0</v>
      </c>
      <c r="H16" s="7">
        <v>1.89</v>
      </c>
      <c r="I16" s="8">
        <f t="shared" si="1"/>
        <v>13419</v>
      </c>
      <c r="J16" s="9" t="s">
        <v>17</v>
      </c>
      <c r="K16" s="7">
        <v>13419.0</v>
      </c>
      <c r="L16" s="10">
        <f t="shared" si="2"/>
        <v>0</v>
      </c>
    </row>
    <row r="17" ht="16.5" customHeight="1">
      <c r="A17" s="11">
        <v>45969.0</v>
      </c>
      <c r="B17" s="12" t="s">
        <v>22</v>
      </c>
      <c r="C17" s="12" t="s">
        <v>23</v>
      </c>
      <c r="D17" s="12" t="s">
        <v>20</v>
      </c>
      <c r="E17" s="12" t="s">
        <v>15</v>
      </c>
      <c r="F17" s="12" t="s">
        <v>45</v>
      </c>
      <c r="G17" s="13">
        <v>3420.0</v>
      </c>
      <c r="H17" s="14">
        <v>3.99</v>
      </c>
      <c r="I17" s="15">
        <f t="shared" si="1"/>
        <v>13645.8</v>
      </c>
      <c r="J17" s="16" t="s">
        <v>17</v>
      </c>
      <c r="K17" s="14">
        <v>13645.8</v>
      </c>
      <c r="L17" s="17">
        <f t="shared" si="2"/>
        <v>0</v>
      </c>
    </row>
    <row r="18" ht="16.5" customHeight="1">
      <c r="A18" s="4">
        <v>45976.0</v>
      </c>
      <c r="B18" s="5" t="s">
        <v>12</v>
      </c>
      <c r="C18" s="5" t="s">
        <v>13</v>
      </c>
      <c r="D18" s="5" t="s">
        <v>14</v>
      </c>
      <c r="E18" s="5" t="s">
        <v>15</v>
      </c>
      <c r="F18" s="5" t="s">
        <v>16</v>
      </c>
      <c r="G18" s="6">
        <v>11800.0</v>
      </c>
      <c r="H18" s="7">
        <v>2.49</v>
      </c>
      <c r="I18" s="8">
        <f t="shared" si="1"/>
        <v>29382</v>
      </c>
      <c r="J18" s="9" t="s">
        <v>17</v>
      </c>
      <c r="K18" s="7">
        <v>29382.0</v>
      </c>
      <c r="L18" s="10">
        <f t="shared" si="2"/>
        <v>0</v>
      </c>
    </row>
    <row r="19" ht="16.5" customHeight="1">
      <c r="A19" s="11">
        <v>45976.0</v>
      </c>
      <c r="B19" s="12" t="s">
        <v>18</v>
      </c>
      <c r="C19" s="12" t="s">
        <v>13</v>
      </c>
      <c r="D19" s="12" t="s">
        <v>14</v>
      </c>
      <c r="E19" s="12" t="s">
        <v>29</v>
      </c>
      <c r="F19" s="12" t="s">
        <v>46</v>
      </c>
      <c r="G19" s="13">
        <v>8950.0</v>
      </c>
      <c r="H19" s="14">
        <v>2.49</v>
      </c>
      <c r="I19" s="15">
        <f t="shared" si="1"/>
        <v>22285.5</v>
      </c>
      <c r="J19" s="16" t="s">
        <v>17</v>
      </c>
      <c r="K19" s="14">
        <v>22285.5</v>
      </c>
      <c r="L19" s="17">
        <f t="shared" si="2"/>
        <v>0</v>
      </c>
    </row>
    <row r="20" ht="16.5" customHeight="1">
      <c r="A20" s="4">
        <v>45976.0</v>
      </c>
      <c r="B20" s="5" t="s">
        <v>12</v>
      </c>
      <c r="C20" s="5" t="s">
        <v>19</v>
      </c>
      <c r="D20" s="5" t="s">
        <v>20</v>
      </c>
      <c r="E20" s="5" t="s">
        <v>15</v>
      </c>
      <c r="F20" s="5" t="s">
        <v>21</v>
      </c>
      <c r="G20" s="6">
        <v>4600.0</v>
      </c>
      <c r="H20" s="7">
        <v>3.79</v>
      </c>
      <c r="I20" s="8">
        <f t="shared" si="1"/>
        <v>17434</v>
      </c>
      <c r="J20" s="9" t="s">
        <v>17</v>
      </c>
      <c r="K20" s="7">
        <v>17434.0</v>
      </c>
      <c r="L20" s="10">
        <f t="shared" si="2"/>
        <v>0</v>
      </c>
    </row>
    <row r="21" ht="16.5" customHeight="1">
      <c r="A21" s="11">
        <v>45976.0</v>
      </c>
      <c r="B21" s="12" t="s">
        <v>26</v>
      </c>
      <c r="C21" s="12" t="s">
        <v>23</v>
      </c>
      <c r="D21" s="12" t="s">
        <v>24</v>
      </c>
      <c r="E21" s="12" t="s">
        <v>15</v>
      </c>
      <c r="F21" s="12" t="s">
        <v>47</v>
      </c>
      <c r="G21" s="13">
        <v>2100.0</v>
      </c>
      <c r="H21" s="14">
        <v>4.29</v>
      </c>
      <c r="I21" s="15">
        <f t="shared" si="1"/>
        <v>9009</v>
      </c>
      <c r="J21" s="16" t="s">
        <v>17</v>
      </c>
      <c r="K21" s="14">
        <v>9009.0</v>
      </c>
      <c r="L21" s="17">
        <f t="shared" si="2"/>
        <v>0</v>
      </c>
    </row>
    <row r="22" ht="16.5" customHeight="1">
      <c r="A22" s="4">
        <v>45983.0</v>
      </c>
      <c r="B22" s="5" t="s">
        <v>12</v>
      </c>
      <c r="C22" s="5" t="s">
        <v>13</v>
      </c>
      <c r="D22" s="5" t="s">
        <v>14</v>
      </c>
      <c r="E22" s="5" t="s">
        <v>29</v>
      </c>
      <c r="F22" s="5" t="s">
        <v>30</v>
      </c>
      <c r="G22" s="6">
        <v>16200.0</v>
      </c>
      <c r="H22" s="7">
        <v>2.19</v>
      </c>
      <c r="I22" s="8">
        <f t="shared" si="1"/>
        <v>35478</v>
      </c>
      <c r="J22" s="9" t="s">
        <v>31</v>
      </c>
      <c r="K22" s="7">
        <v>27400.0</v>
      </c>
      <c r="L22" s="10">
        <f t="shared" si="2"/>
        <v>8078</v>
      </c>
    </row>
    <row r="23" ht="16.5" customHeight="1">
      <c r="A23" s="11">
        <v>45983.0</v>
      </c>
      <c r="B23" s="12" t="s">
        <v>18</v>
      </c>
      <c r="C23" s="12" t="s">
        <v>13</v>
      </c>
      <c r="D23" s="12" t="s">
        <v>20</v>
      </c>
      <c r="E23" s="12" t="s">
        <v>32</v>
      </c>
      <c r="F23" s="12" t="s">
        <v>48</v>
      </c>
      <c r="G23" s="13">
        <v>5400.0</v>
      </c>
      <c r="H23" s="14">
        <v>3.49</v>
      </c>
      <c r="I23" s="15">
        <f t="shared" si="1"/>
        <v>18846</v>
      </c>
      <c r="J23" s="16" t="s">
        <v>31</v>
      </c>
      <c r="K23" s="14">
        <v>14800.0</v>
      </c>
      <c r="L23" s="17">
        <f t="shared" si="2"/>
        <v>4046</v>
      </c>
    </row>
    <row r="24" ht="16.5" customHeight="1">
      <c r="A24" s="4">
        <v>45983.0</v>
      </c>
      <c r="B24" s="5" t="s">
        <v>22</v>
      </c>
      <c r="C24" s="5" t="s">
        <v>19</v>
      </c>
      <c r="D24" s="5" t="s">
        <v>14</v>
      </c>
      <c r="E24" s="5" t="s">
        <v>15</v>
      </c>
      <c r="F24" s="5" t="s">
        <v>38</v>
      </c>
      <c r="G24" s="6">
        <v>5800.0</v>
      </c>
      <c r="H24" s="7">
        <v>2.49</v>
      </c>
      <c r="I24" s="8">
        <f t="shared" si="1"/>
        <v>14442</v>
      </c>
      <c r="J24" s="9" t="s">
        <v>17</v>
      </c>
      <c r="K24" s="7">
        <v>14442.0</v>
      </c>
      <c r="L24" s="10">
        <f t="shared" si="2"/>
        <v>0</v>
      </c>
    </row>
    <row r="25" ht="16.5" customHeight="1">
      <c r="A25" s="11">
        <v>45983.0</v>
      </c>
      <c r="B25" s="12" t="s">
        <v>12</v>
      </c>
      <c r="C25" s="12" t="s">
        <v>35</v>
      </c>
      <c r="D25" s="12" t="s">
        <v>36</v>
      </c>
      <c r="E25" s="12" t="s">
        <v>29</v>
      </c>
      <c r="F25" s="12" t="s">
        <v>49</v>
      </c>
      <c r="G25" s="13">
        <v>3100.0</v>
      </c>
      <c r="H25" s="14">
        <v>1.89</v>
      </c>
      <c r="I25" s="15">
        <f t="shared" si="1"/>
        <v>5859</v>
      </c>
      <c r="J25" s="16" t="s">
        <v>17</v>
      </c>
      <c r="K25" s="14">
        <v>5859.0</v>
      </c>
      <c r="L25" s="17">
        <f t="shared" si="2"/>
        <v>0</v>
      </c>
    </row>
    <row r="26" ht="16.5" customHeight="1">
      <c r="A26" s="4">
        <v>45990.0</v>
      </c>
      <c r="B26" s="5" t="s">
        <v>12</v>
      </c>
      <c r="C26" s="5" t="s">
        <v>13</v>
      </c>
      <c r="D26" s="5" t="s">
        <v>14</v>
      </c>
      <c r="E26" s="5" t="s">
        <v>32</v>
      </c>
      <c r="F26" s="5" t="s">
        <v>50</v>
      </c>
      <c r="G26" s="6">
        <v>18500.0</v>
      </c>
      <c r="H26" s="7">
        <v>2.49</v>
      </c>
      <c r="I26" s="8">
        <f t="shared" si="1"/>
        <v>46065</v>
      </c>
      <c r="J26" s="9" t="s">
        <v>17</v>
      </c>
      <c r="K26" s="7">
        <v>46065.0</v>
      </c>
      <c r="L26" s="10">
        <f t="shared" si="2"/>
        <v>0</v>
      </c>
    </row>
    <row r="27" ht="16.5" customHeight="1">
      <c r="A27" s="11">
        <v>45990.0</v>
      </c>
      <c r="B27" s="12" t="s">
        <v>18</v>
      </c>
      <c r="C27" s="12" t="s">
        <v>13</v>
      </c>
      <c r="D27" s="12" t="s">
        <v>14</v>
      </c>
      <c r="E27" s="12" t="s">
        <v>32</v>
      </c>
      <c r="F27" s="12" t="s">
        <v>50</v>
      </c>
      <c r="G27" s="13">
        <v>12900.0</v>
      </c>
      <c r="H27" s="14">
        <v>2.49</v>
      </c>
      <c r="I27" s="15">
        <f t="shared" si="1"/>
        <v>32121</v>
      </c>
      <c r="J27" s="16" t="s">
        <v>17</v>
      </c>
      <c r="K27" s="14">
        <v>32121.0</v>
      </c>
      <c r="L27" s="17">
        <f t="shared" si="2"/>
        <v>0</v>
      </c>
    </row>
    <row r="28" ht="16.5" customHeight="1">
      <c r="A28" s="4">
        <v>45990.0</v>
      </c>
      <c r="B28" s="5" t="s">
        <v>22</v>
      </c>
      <c r="C28" s="5" t="s">
        <v>23</v>
      </c>
      <c r="D28" s="5" t="s">
        <v>20</v>
      </c>
      <c r="E28" s="5" t="s">
        <v>15</v>
      </c>
      <c r="F28" s="5" t="s">
        <v>39</v>
      </c>
      <c r="G28" s="6">
        <v>3900.0</v>
      </c>
      <c r="H28" s="7">
        <v>3.79</v>
      </c>
      <c r="I28" s="8">
        <f t="shared" si="1"/>
        <v>14781</v>
      </c>
      <c r="J28" s="9" t="s">
        <v>17</v>
      </c>
      <c r="K28" s="7">
        <v>14781.0</v>
      </c>
      <c r="L28" s="10">
        <f t="shared" si="2"/>
        <v>0</v>
      </c>
    </row>
    <row r="29" ht="16.5" customHeight="1">
      <c r="A29" s="11">
        <v>45990.0</v>
      </c>
      <c r="B29" s="12" t="s">
        <v>26</v>
      </c>
      <c r="C29" s="12" t="s">
        <v>19</v>
      </c>
      <c r="D29" s="12" t="s">
        <v>20</v>
      </c>
      <c r="E29" s="12" t="s">
        <v>15</v>
      </c>
      <c r="F29" s="12" t="s">
        <v>51</v>
      </c>
      <c r="G29" s="13">
        <v>2800.0</v>
      </c>
      <c r="H29" s="14">
        <v>2.99</v>
      </c>
      <c r="I29" s="15">
        <f t="shared" si="1"/>
        <v>8372</v>
      </c>
      <c r="J29" s="16" t="s">
        <v>17</v>
      </c>
      <c r="K29" s="14">
        <v>8372.0</v>
      </c>
      <c r="L29" s="17">
        <f t="shared" si="2"/>
        <v>0</v>
      </c>
    </row>
    <row r="30" ht="16.5" customHeight="1">
      <c r="A30" s="4">
        <v>45997.0</v>
      </c>
      <c r="B30" s="5" t="s">
        <v>12</v>
      </c>
      <c r="C30" s="5" t="s">
        <v>13</v>
      </c>
      <c r="D30" s="5" t="s">
        <v>14</v>
      </c>
      <c r="E30" s="5" t="s">
        <v>32</v>
      </c>
      <c r="F30" s="5" t="s">
        <v>50</v>
      </c>
      <c r="G30" s="6">
        <v>19200.0</v>
      </c>
      <c r="H30" s="7">
        <v>2.29</v>
      </c>
      <c r="I30" s="8">
        <f t="shared" si="1"/>
        <v>43968</v>
      </c>
      <c r="J30" s="9" t="s">
        <v>31</v>
      </c>
      <c r="K30" s="7">
        <v>34500.0</v>
      </c>
      <c r="L30" s="10">
        <f t="shared" si="2"/>
        <v>9468</v>
      </c>
    </row>
    <row r="31" ht="16.5" customHeight="1">
      <c r="A31" s="11">
        <v>45997.0</v>
      </c>
      <c r="B31" s="12" t="s">
        <v>12</v>
      </c>
      <c r="C31" s="12" t="s">
        <v>19</v>
      </c>
      <c r="D31" s="12" t="s">
        <v>14</v>
      </c>
      <c r="E31" s="12" t="s">
        <v>15</v>
      </c>
      <c r="F31" s="12" t="s">
        <v>16</v>
      </c>
      <c r="G31" s="13">
        <v>6500.0</v>
      </c>
      <c r="H31" s="14">
        <v>2.49</v>
      </c>
      <c r="I31" s="15">
        <f t="shared" si="1"/>
        <v>16185</v>
      </c>
      <c r="J31" s="16" t="s">
        <v>17</v>
      </c>
      <c r="K31" s="14">
        <v>16185.0</v>
      </c>
      <c r="L31" s="17">
        <f t="shared" si="2"/>
        <v>0</v>
      </c>
    </row>
    <row r="32" ht="16.5" customHeight="1">
      <c r="A32" s="4">
        <v>45997.0</v>
      </c>
      <c r="B32" s="5" t="s">
        <v>18</v>
      </c>
      <c r="C32" s="5" t="s">
        <v>19</v>
      </c>
      <c r="D32" s="5" t="s">
        <v>20</v>
      </c>
      <c r="E32" s="5" t="s">
        <v>29</v>
      </c>
      <c r="F32" s="5" t="s">
        <v>34</v>
      </c>
      <c r="G32" s="6">
        <v>4100.0</v>
      </c>
      <c r="H32" s="7">
        <v>3.79</v>
      </c>
      <c r="I32" s="8">
        <f t="shared" si="1"/>
        <v>15539</v>
      </c>
      <c r="J32" s="9" t="s">
        <v>17</v>
      </c>
      <c r="K32" s="7">
        <v>15539.0</v>
      </c>
      <c r="L32" s="10">
        <f t="shared" si="2"/>
        <v>0</v>
      </c>
    </row>
    <row r="33" ht="16.5" customHeight="1">
      <c r="A33" s="11">
        <v>45997.0</v>
      </c>
      <c r="B33" s="12" t="s">
        <v>22</v>
      </c>
      <c r="C33" s="12" t="s">
        <v>35</v>
      </c>
      <c r="D33" s="12" t="s">
        <v>24</v>
      </c>
      <c r="E33" s="12" t="s">
        <v>15</v>
      </c>
      <c r="F33" s="12" t="s">
        <v>25</v>
      </c>
      <c r="G33" s="13">
        <v>2300.0</v>
      </c>
      <c r="H33" s="14">
        <v>4.19</v>
      </c>
      <c r="I33" s="15">
        <f t="shared" si="1"/>
        <v>9637</v>
      </c>
      <c r="J33" s="16" t="s">
        <v>17</v>
      </c>
      <c r="K33" s="14">
        <v>9637.0</v>
      </c>
      <c r="L33" s="17">
        <f t="shared" si="2"/>
        <v>0</v>
      </c>
    </row>
    <row r="34" ht="16.5" customHeight="1">
      <c r="A34" s="4">
        <v>46004.0</v>
      </c>
      <c r="B34" s="5" t="s">
        <v>12</v>
      </c>
      <c r="C34" s="5" t="s">
        <v>13</v>
      </c>
      <c r="D34" s="5" t="s">
        <v>14</v>
      </c>
      <c r="E34" s="5" t="s">
        <v>32</v>
      </c>
      <c r="F34" s="5" t="s">
        <v>50</v>
      </c>
      <c r="G34" s="6">
        <v>20400.0</v>
      </c>
      <c r="H34" s="7">
        <v>2.29</v>
      </c>
      <c r="I34" s="8">
        <f t="shared" si="1"/>
        <v>46716</v>
      </c>
      <c r="J34" s="9" t="s">
        <v>41</v>
      </c>
      <c r="K34" s="7">
        <v>35800.0</v>
      </c>
      <c r="L34" s="10">
        <f t="shared" si="2"/>
        <v>10916</v>
      </c>
    </row>
    <row r="35" ht="16.5" customHeight="1">
      <c r="A35" s="11">
        <v>46004.0</v>
      </c>
      <c r="B35" s="12" t="s">
        <v>18</v>
      </c>
      <c r="C35" s="12" t="s">
        <v>13</v>
      </c>
      <c r="D35" s="12" t="s">
        <v>14</v>
      </c>
      <c r="E35" s="12" t="s">
        <v>15</v>
      </c>
      <c r="F35" s="12" t="s">
        <v>40</v>
      </c>
      <c r="G35" s="13">
        <v>9800.0</v>
      </c>
      <c r="H35" s="14">
        <v>2.49</v>
      </c>
      <c r="I35" s="15">
        <f t="shared" si="1"/>
        <v>24402</v>
      </c>
      <c r="J35" s="16" t="s">
        <v>17</v>
      </c>
      <c r="K35" s="14">
        <v>24402.0</v>
      </c>
      <c r="L35" s="17">
        <f t="shared" si="2"/>
        <v>0</v>
      </c>
    </row>
    <row r="36" ht="16.5" customHeight="1">
      <c r="A36" s="4">
        <v>46004.0</v>
      </c>
      <c r="B36" s="5" t="s">
        <v>12</v>
      </c>
      <c r="C36" s="5" t="s">
        <v>23</v>
      </c>
      <c r="D36" s="5" t="s">
        <v>24</v>
      </c>
      <c r="E36" s="5" t="s">
        <v>15</v>
      </c>
      <c r="F36" s="5" t="s">
        <v>52</v>
      </c>
      <c r="G36" s="6">
        <v>4200.0</v>
      </c>
      <c r="H36" s="7">
        <v>3.99</v>
      </c>
      <c r="I36" s="8">
        <f t="shared" si="1"/>
        <v>16758</v>
      </c>
      <c r="J36" s="9" t="s">
        <v>17</v>
      </c>
      <c r="K36" s="7">
        <v>16758.0</v>
      </c>
      <c r="L36" s="10">
        <f t="shared" si="2"/>
        <v>0</v>
      </c>
    </row>
    <row r="37" ht="16.5" customHeight="1">
      <c r="A37" s="11">
        <v>46004.0</v>
      </c>
      <c r="B37" s="12" t="s">
        <v>26</v>
      </c>
      <c r="C37" s="12" t="s">
        <v>13</v>
      </c>
      <c r="D37" s="12" t="s">
        <v>14</v>
      </c>
      <c r="E37" s="12" t="s">
        <v>27</v>
      </c>
      <c r="F37" s="12" t="s">
        <v>28</v>
      </c>
      <c r="G37" s="13">
        <v>6950.0</v>
      </c>
      <c r="H37" s="14">
        <v>1.89</v>
      </c>
      <c r="I37" s="15">
        <f t="shared" si="1"/>
        <v>13135.5</v>
      </c>
      <c r="J37" s="16" t="s">
        <v>17</v>
      </c>
      <c r="K37" s="14">
        <v>13135.5</v>
      </c>
      <c r="L37" s="17">
        <f t="shared" si="2"/>
        <v>0</v>
      </c>
    </row>
    <row r="38" ht="16.5" customHeight="1">
      <c r="A38" s="4">
        <v>46011.0</v>
      </c>
      <c r="B38" s="5" t="s">
        <v>12</v>
      </c>
      <c r="C38" s="5" t="s">
        <v>13</v>
      </c>
      <c r="D38" s="5" t="s">
        <v>14</v>
      </c>
      <c r="E38" s="5" t="s">
        <v>32</v>
      </c>
      <c r="F38" s="5" t="s">
        <v>50</v>
      </c>
      <c r="G38" s="6">
        <v>21800.0</v>
      </c>
      <c r="H38" s="7">
        <v>2.29</v>
      </c>
      <c r="I38" s="8">
        <f t="shared" si="1"/>
        <v>49922</v>
      </c>
      <c r="J38" s="9" t="s">
        <v>41</v>
      </c>
      <c r="K38" s="7">
        <v>37200.0</v>
      </c>
      <c r="L38" s="10">
        <f t="shared" si="2"/>
        <v>12722</v>
      </c>
    </row>
    <row r="39" ht="16.5" customHeight="1">
      <c r="A39" s="11">
        <v>46011.0</v>
      </c>
      <c r="B39" s="12" t="s">
        <v>22</v>
      </c>
      <c r="C39" s="12" t="s">
        <v>13</v>
      </c>
      <c r="D39" s="12" t="s">
        <v>14</v>
      </c>
      <c r="E39" s="12" t="s">
        <v>29</v>
      </c>
      <c r="F39" s="12" t="s">
        <v>30</v>
      </c>
      <c r="G39" s="13">
        <v>8400.0</v>
      </c>
      <c r="H39" s="14">
        <v>2.49</v>
      </c>
      <c r="I39" s="15">
        <f t="shared" si="1"/>
        <v>20916</v>
      </c>
      <c r="J39" s="16" t="s">
        <v>17</v>
      </c>
      <c r="K39" s="14">
        <v>20916.0</v>
      </c>
      <c r="L39" s="17">
        <f t="shared" si="2"/>
        <v>0</v>
      </c>
    </row>
    <row r="40" ht="16.5" customHeight="1">
      <c r="A40" s="4">
        <v>46011.0</v>
      </c>
      <c r="B40" s="5" t="s">
        <v>18</v>
      </c>
      <c r="C40" s="5" t="s">
        <v>19</v>
      </c>
      <c r="D40" s="5" t="s">
        <v>20</v>
      </c>
      <c r="E40" s="5" t="s">
        <v>15</v>
      </c>
      <c r="F40" s="5" t="s">
        <v>21</v>
      </c>
      <c r="G40" s="6">
        <v>5200.0</v>
      </c>
      <c r="H40" s="7">
        <v>3.69</v>
      </c>
      <c r="I40" s="8">
        <f t="shared" si="1"/>
        <v>19188</v>
      </c>
      <c r="J40" s="9" t="s">
        <v>31</v>
      </c>
      <c r="K40" s="7">
        <v>15400.0</v>
      </c>
      <c r="L40" s="10">
        <f t="shared" si="2"/>
        <v>3788</v>
      </c>
    </row>
    <row r="41" ht="16.5" customHeight="1">
      <c r="A41" s="11">
        <v>46011.0</v>
      </c>
      <c r="B41" s="12" t="s">
        <v>12</v>
      </c>
      <c r="C41" s="12" t="s">
        <v>35</v>
      </c>
      <c r="D41" s="12" t="s">
        <v>36</v>
      </c>
      <c r="E41" s="12" t="s">
        <v>15</v>
      </c>
      <c r="F41" s="12" t="s">
        <v>53</v>
      </c>
      <c r="G41" s="13">
        <v>3400.0</v>
      </c>
      <c r="H41" s="14">
        <v>1.99</v>
      </c>
      <c r="I41" s="15">
        <f t="shared" si="1"/>
        <v>6766</v>
      </c>
      <c r="J41" s="16" t="s">
        <v>17</v>
      </c>
      <c r="K41" s="14">
        <v>6766.0</v>
      </c>
      <c r="L41" s="17">
        <f t="shared" si="2"/>
        <v>0</v>
      </c>
    </row>
    <row r="42" ht="16.5" customHeight="1">
      <c r="A42" s="4">
        <v>46018.0</v>
      </c>
      <c r="B42" s="5" t="s">
        <v>12</v>
      </c>
      <c r="C42" s="5" t="s">
        <v>13</v>
      </c>
      <c r="D42" s="5" t="s">
        <v>14</v>
      </c>
      <c r="E42" s="5" t="s">
        <v>32</v>
      </c>
      <c r="F42" s="5" t="s">
        <v>50</v>
      </c>
      <c r="G42" s="6">
        <v>14200.0</v>
      </c>
      <c r="H42" s="7">
        <v>1.99</v>
      </c>
      <c r="I42" s="8">
        <f t="shared" si="1"/>
        <v>28258</v>
      </c>
      <c r="J42" s="9" t="s">
        <v>31</v>
      </c>
      <c r="K42" s="7">
        <v>22500.0</v>
      </c>
      <c r="L42" s="10">
        <f t="shared" si="2"/>
        <v>5758</v>
      </c>
    </row>
    <row r="43" ht="16.5" customHeight="1">
      <c r="A43" s="11">
        <v>46018.0</v>
      </c>
      <c r="B43" s="12" t="s">
        <v>18</v>
      </c>
      <c r="C43" s="12" t="s">
        <v>13</v>
      </c>
      <c r="D43" s="12" t="s">
        <v>14</v>
      </c>
      <c r="E43" s="12" t="s">
        <v>15</v>
      </c>
      <c r="F43" s="12" t="s">
        <v>38</v>
      </c>
      <c r="G43" s="13">
        <v>9100.0</v>
      </c>
      <c r="H43" s="14">
        <v>2.49</v>
      </c>
      <c r="I43" s="15">
        <f t="shared" si="1"/>
        <v>22659</v>
      </c>
      <c r="J43" s="16" t="s">
        <v>17</v>
      </c>
      <c r="K43" s="14">
        <v>22659.0</v>
      </c>
      <c r="L43" s="17">
        <f t="shared" si="2"/>
        <v>0</v>
      </c>
    </row>
    <row r="44" ht="16.5" customHeight="1">
      <c r="A44" s="4">
        <v>46018.0</v>
      </c>
      <c r="B44" s="5" t="s">
        <v>12</v>
      </c>
      <c r="C44" s="5" t="s">
        <v>19</v>
      </c>
      <c r="D44" s="5" t="s">
        <v>20</v>
      </c>
      <c r="E44" s="5" t="s">
        <v>15</v>
      </c>
      <c r="F44" s="5" t="s">
        <v>45</v>
      </c>
      <c r="G44" s="6">
        <v>4300.0</v>
      </c>
      <c r="H44" s="7">
        <v>3.89</v>
      </c>
      <c r="I44" s="8">
        <f t="shared" si="1"/>
        <v>16727</v>
      </c>
      <c r="J44" s="9" t="s">
        <v>17</v>
      </c>
      <c r="K44" s="7">
        <v>16727.0</v>
      </c>
      <c r="L44" s="10">
        <f t="shared" si="2"/>
        <v>0</v>
      </c>
    </row>
    <row r="45" ht="16.5" customHeight="1">
      <c r="A45" s="11">
        <v>46018.0</v>
      </c>
      <c r="B45" s="12" t="s">
        <v>26</v>
      </c>
      <c r="C45" s="12" t="s">
        <v>23</v>
      </c>
      <c r="D45" s="12" t="s">
        <v>24</v>
      </c>
      <c r="E45" s="12" t="s">
        <v>15</v>
      </c>
      <c r="F45" s="12" t="s">
        <v>44</v>
      </c>
      <c r="G45" s="13">
        <v>2050.0</v>
      </c>
      <c r="H45" s="14">
        <v>4.29</v>
      </c>
      <c r="I45" s="15">
        <f t="shared" si="1"/>
        <v>8794.5</v>
      </c>
      <c r="J45" s="16" t="s">
        <v>17</v>
      </c>
      <c r="K45" s="14">
        <v>8794.5</v>
      </c>
      <c r="L45" s="17">
        <f t="shared" si="2"/>
        <v>0</v>
      </c>
    </row>
    <row r="46" ht="16.5" customHeight="1">
      <c r="A46" s="4">
        <v>46025.0</v>
      </c>
      <c r="B46" s="5" t="s">
        <v>12</v>
      </c>
      <c r="C46" s="5" t="s">
        <v>13</v>
      </c>
      <c r="D46" s="5" t="s">
        <v>14</v>
      </c>
      <c r="E46" s="5" t="s">
        <v>15</v>
      </c>
      <c r="F46" s="5" t="s">
        <v>16</v>
      </c>
      <c r="G46" s="6">
        <v>11900.0</v>
      </c>
      <c r="H46" s="7">
        <v>2.49</v>
      </c>
      <c r="I46" s="8">
        <f t="shared" si="1"/>
        <v>29631</v>
      </c>
      <c r="J46" s="9" t="s">
        <v>17</v>
      </c>
      <c r="K46" s="7">
        <v>29631.0</v>
      </c>
      <c r="L46" s="10">
        <f t="shared" si="2"/>
        <v>0</v>
      </c>
    </row>
    <row r="47" ht="16.5" customHeight="1">
      <c r="A47" s="11">
        <v>46025.0</v>
      </c>
      <c r="B47" s="12" t="s">
        <v>18</v>
      </c>
      <c r="C47" s="12" t="s">
        <v>13</v>
      </c>
      <c r="D47" s="12" t="s">
        <v>14</v>
      </c>
      <c r="E47" s="12" t="s">
        <v>27</v>
      </c>
      <c r="F47" s="12" t="s">
        <v>54</v>
      </c>
      <c r="G47" s="13">
        <v>7400.0</v>
      </c>
      <c r="H47" s="14">
        <v>2.29</v>
      </c>
      <c r="I47" s="15">
        <f t="shared" si="1"/>
        <v>16946</v>
      </c>
      <c r="J47" s="16" t="s">
        <v>17</v>
      </c>
      <c r="K47" s="14">
        <v>16946.0</v>
      </c>
      <c r="L47" s="17">
        <f t="shared" si="2"/>
        <v>0</v>
      </c>
    </row>
    <row r="48" ht="16.5" customHeight="1">
      <c r="A48" s="4">
        <v>46025.0</v>
      </c>
      <c r="B48" s="5" t="s">
        <v>22</v>
      </c>
      <c r="C48" s="5" t="s">
        <v>19</v>
      </c>
      <c r="D48" s="5" t="s">
        <v>20</v>
      </c>
      <c r="E48" s="5" t="s">
        <v>29</v>
      </c>
      <c r="F48" s="5" t="s">
        <v>34</v>
      </c>
      <c r="G48" s="6">
        <v>3300.0</v>
      </c>
      <c r="H48" s="7">
        <v>3.89</v>
      </c>
      <c r="I48" s="8">
        <f t="shared" si="1"/>
        <v>12837</v>
      </c>
      <c r="J48" s="9" t="s">
        <v>17</v>
      </c>
      <c r="K48" s="7">
        <v>12837.0</v>
      </c>
      <c r="L48" s="10">
        <f t="shared" si="2"/>
        <v>0</v>
      </c>
    </row>
    <row r="49" ht="16.5" customHeight="1">
      <c r="A49" s="11">
        <v>46025.0</v>
      </c>
      <c r="B49" s="12" t="s">
        <v>12</v>
      </c>
      <c r="C49" s="12" t="s">
        <v>35</v>
      </c>
      <c r="D49" s="12" t="s">
        <v>14</v>
      </c>
      <c r="E49" s="12" t="s">
        <v>15</v>
      </c>
      <c r="F49" s="12" t="s">
        <v>43</v>
      </c>
      <c r="G49" s="13">
        <v>4100.0</v>
      </c>
      <c r="H49" s="14">
        <v>2.59</v>
      </c>
      <c r="I49" s="15">
        <f t="shared" si="1"/>
        <v>10619</v>
      </c>
      <c r="J49" s="16" t="s">
        <v>17</v>
      </c>
      <c r="K49" s="14">
        <v>10619.0</v>
      </c>
      <c r="L49" s="17">
        <f t="shared" si="2"/>
        <v>0</v>
      </c>
    </row>
    <row r="50" ht="16.5" customHeight="1">
      <c r="A50" s="4">
        <v>46032.0</v>
      </c>
      <c r="B50" s="5" t="s">
        <v>12</v>
      </c>
      <c r="C50" s="5" t="s">
        <v>13</v>
      </c>
      <c r="D50" s="5" t="s">
        <v>14</v>
      </c>
      <c r="E50" s="5" t="s">
        <v>29</v>
      </c>
      <c r="F50" s="5" t="s">
        <v>30</v>
      </c>
      <c r="G50" s="6">
        <v>15100.0</v>
      </c>
      <c r="H50" s="7">
        <v>2.19</v>
      </c>
      <c r="I50" s="8">
        <f t="shared" si="1"/>
        <v>33069</v>
      </c>
      <c r="J50" s="9" t="s">
        <v>31</v>
      </c>
      <c r="K50" s="7">
        <v>26200.0</v>
      </c>
      <c r="L50" s="10">
        <f t="shared" si="2"/>
        <v>6869</v>
      </c>
    </row>
    <row r="51" ht="16.5" customHeight="1">
      <c r="A51" s="11">
        <v>46032.0</v>
      </c>
      <c r="B51" s="12" t="s">
        <v>18</v>
      </c>
      <c r="C51" s="12" t="s">
        <v>19</v>
      </c>
      <c r="D51" s="12" t="s">
        <v>20</v>
      </c>
      <c r="E51" s="12" t="s">
        <v>15</v>
      </c>
      <c r="F51" s="12" t="s">
        <v>39</v>
      </c>
      <c r="G51" s="13">
        <v>4700.0</v>
      </c>
      <c r="H51" s="14">
        <v>3.69</v>
      </c>
      <c r="I51" s="15">
        <f t="shared" si="1"/>
        <v>17343</v>
      </c>
      <c r="J51" s="16" t="s">
        <v>31</v>
      </c>
      <c r="K51" s="14">
        <v>13600.0</v>
      </c>
      <c r="L51" s="17">
        <f t="shared" si="2"/>
        <v>3743</v>
      </c>
    </row>
    <row r="52" ht="16.5" customHeight="1">
      <c r="A52" s="4">
        <v>46032.0</v>
      </c>
      <c r="B52" s="5" t="s">
        <v>22</v>
      </c>
      <c r="C52" s="5" t="s">
        <v>23</v>
      </c>
      <c r="D52" s="5" t="s">
        <v>24</v>
      </c>
      <c r="E52" s="5" t="s">
        <v>15</v>
      </c>
      <c r="F52" s="5" t="s">
        <v>47</v>
      </c>
      <c r="G52" s="6">
        <v>2900.0</v>
      </c>
      <c r="H52" s="7">
        <v>4.29</v>
      </c>
      <c r="I52" s="8">
        <f t="shared" si="1"/>
        <v>12441</v>
      </c>
      <c r="J52" s="9" t="s">
        <v>17</v>
      </c>
      <c r="K52" s="7">
        <v>12441.0</v>
      </c>
      <c r="L52" s="10">
        <f t="shared" si="2"/>
        <v>0</v>
      </c>
    </row>
    <row r="53" ht="16.5" customHeight="1">
      <c r="A53" s="11">
        <v>46032.0</v>
      </c>
      <c r="B53" s="12" t="s">
        <v>26</v>
      </c>
      <c r="C53" s="12" t="s">
        <v>13</v>
      </c>
      <c r="D53" s="12" t="s">
        <v>36</v>
      </c>
      <c r="E53" s="12" t="s">
        <v>27</v>
      </c>
      <c r="F53" s="12" t="s">
        <v>37</v>
      </c>
      <c r="G53" s="13">
        <v>2600.0</v>
      </c>
      <c r="H53" s="14">
        <v>1.69</v>
      </c>
      <c r="I53" s="15">
        <f t="shared" si="1"/>
        <v>4394</v>
      </c>
      <c r="J53" s="16" t="s">
        <v>17</v>
      </c>
      <c r="K53" s="14">
        <v>4394.0</v>
      </c>
      <c r="L53" s="17">
        <f t="shared" si="2"/>
        <v>0</v>
      </c>
    </row>
    <row r="54" ht="16.5" customHeight="1">
      <c r="A54" s="4">
        <v>46039.0</v>
      </c>
      <c r="B54" s="5" t="s">
        <v>12</v>
      </c>
      <c r="C54" s="5" t="s">
        <v>13</v>
      </c>
      <c r="D54" s="5" t="s">
        <v>14</v>
      </c>
      <c r="E54" s="5" t="s">
        <v>15</v>
      </c>
      <c r="F54" s="5" t="s">
        <v>40</v>
      </c>
      <c r="G54" s="6">
        <v>12600.0</v>
      </c>
      <c r="H54" s="7">
        <v>2.49</v>
      </c>
      <c r="I54" s="8">
        <f t="shared" si="1"/>
        <v>31374</v>
      </c>
      <c r="J54" s="9" t="s">
        <v>17</v>
      </c>
      <c r="K54" s="7">
        <v>31374.0</v>
      </c>
      <c r="L54" s="10">
        <f t="shared" si="2"/>
        <v>0</v>
      </c>
    </row>
    <row r="55" ht="16.5" customHeight="1">
      <c r="A55" s="11">
        <v>46039.0</v>
      </c>
      <c r="B55" s="12" t="s">
        <v>18</v>
      </c>
      <c r="C55" s="12" t="s">
        <v>13</v>
      </c>
      <c r="D55" s="12" t="s">
        <v>14</v>
      </c>
      <c r="E55" s="12" t="s">
        <v>15</v>
      </c>
      <c r="F55" s="12" t="s">
        <v>38</v>
      </c>
      <c r="G55" s="13">
        <v>8800.0</v>
      </c>
      <c r="H55" s="14">
        <v>2.49</v>
      </c>
      <c r="I55" s="15">
        <f t="shared" si="1"/>
        <v>21912</v>
      </c>
      <c r="J55" s="16" t="s">
        <v>17</v>
      </c>
      <c r="K55" s="14">
        <v>21912.0</v>
      </c>
      <c r="L55" s="17">
        <f t="shared" si="2"/>
        <v>0</v>
      </c>
    </row>
    <row r="56" ht="16.5" customHeight="1">
      <c r="A56" s="4">
        <v>46039.0</v>
      </c>
      <c r="B56" s="5" t="s">
        <v>12</v>
      </c>
      <c r="C56" s="5" t="s">
        <v>19</v>
      </c>
      <c r="D56" s="5" t="s">
        <v>14</v>
      </c>
      <c r="E56" s="5" t="s">
        <v>29</v>
      </c>
      <c r="F56" s="5" t="s">
        <v>30</v>
      </c>
      <c r="G56" s="6">
        <v>6900.0</v>
      </c>
      <c r="H56" s="7">
        <v>2.39</v>
      </c>
      <c r="I56" s="8">
        <f t="shared" si="1"/>
        <v>16491</v>
      </c>
      <c r="J56" s="9" t="s">
        <v>17</v>
      </c>
      <c r="K56" s="7">
        <v>16491.0</v>
      </c>
      <c r="L56" s="10">
        <f t="shared" si="2"/>
        <v>0</v>
      </c>
    </row>
    <row r="57" ht="16.5" customHeight="1">
      <c r="A57" s="11">
        <v>46039.0</v>
      </c>
      <c r="B57" s="12" t="s">
        <v>22</v>
      </c>
      <c r="C57" s="12" t="s">
        <v>35</v>
      </c>
      <c r="D57" s="12" t="s">
        <v>20</v>
      </c>
      <c r="E57" s="12" t="s">
        <v>15</v>
      </c>
      <c r="F57" s="12" t="s">
        <v>21</v>
      </c>
      <c r="G57" s="13">
        <v>3100.0</v>
      </c>
      <c r="H57" s="14">
        <v>3.99</v>
      </c>
      <c r="I57" s="15">
        <f t="shared" si="1"/>
        <v>12369</v>
      </c>
      <c r="J57" s="16" t="s">
        <v>17</v>
      </c>
      <c r="K57" s="14">
        <v>12369.0</v>
      </c>
      <c r="L57" s="17">
        <f t="shared" si="2"/>
        <v>0</v>
      </c>
    </row>
    <row r="58" ht="16.5" customHeight="1">
      <c r="A58" s="4">
        <v>46046.0</v>
      </c>
      <c r="B58" s="5" t="s">
        <v>12</v>
      </c>
      <c r="C58" s="5" t="s">
        <v>13</v>
      </c>
      <c r="D58" s="5" t="s">
        <v>14</v>
      </c>
      <c r="E58" s="5" t="s">
        <v>15</v>
      </c>
      <c r="F58" s="5" t="s">
        <v>43</v>
      </c>
      <c r="G58" s="6">
        <v>13400.0</v>
      </c>
      <c r="H58" s="7">
        <v>2.49</v>
      </c>
      <c r="I58" s="8">
        <f t="shared" si="1"/>
        <v>33366</v>
      </c>
      <c r="J58" s="9" t="s">
        <v>17</v>
      </c>
      <c r="K58" s="7">
        <v>33366.0</v>
      </c>
      <c r="L58" s="10">
        <f t="shared" si="2"/>
        <v>0</v>
      </c>
    </row>
    <row r="59" ht="16.5" customHeight="1">
      <c r="A59" s="11">
        <v>46046.0</v>
      </c>
      <c r="B59" s="12" t="s">
        <v>18</v>
      </c>
      <c r="C59" s="12" t="s">
        <v>19</v>
      </c>
      <c r="D59" s="12" t="s">
        <v>20</v>
      </c>
      <c r="E59" s="12" t="s">
        <v>15</v>
      </c>
      <c r="F59" s="12" t="s">
        <v>45</v>
      </c>
      <c r="G59" s="13">
        <v>3900.0</v>
      </c>
      <c r="H59" s="14">
        <v>3.89</v>
      </c>
      <c r="I59" s="15">
        <f t="shared" si="1"/>
        <v>15171</v>
      </c>
      <c r="J59" s="16" t="s">
        <v>17</v>
      </c>
      <c r="K59" s="14">
        <v>15171.0</v>
      </c>
      <c r="L59" s="17">
        <f t="shared" si="2"/>
        <v>0</v>
      </c>
    </row>
    <row r="60" ht="16.5" customHeight="1">
      <c r="A60" s="4">
        <v>46046.0</v>
      </c>
      <c r="B60" s="5" t="s">
        <v>12</v>
      </c>
      <c r="C60" s="5" t="s">
        <v>23</v>
      </c>
      <c r="D60" s="5" t="s">
        <v>24</v>
      </c>
      <c r="E60" s="5" t="s">
        <v>15</v>
      </c>
      <c r="F60" s="5" t="s">
        <v>25</v>
      </c>
      <c r="G60" s="6">
        <v>4100.0</v>
      </c>
      <c r="H60" s="7">
        <v>3.99</v>
      </c>
      <c r="I60" s="8">
        <f t="shared" si="1"/>
        <v>16359</v>
      </c>
      <c r="J60" s="9" t="s">
        <v>17</v>
      </c>
      <c r="K60" s="7">
        <v>16359.0</v>
      </c>
      <c r="L60" s="10">
        <f t="shared" si="2"/>
        <v>0</v>
      </c>
    </row>
    <row r="61" ht="16.5" customHeight="1">
      <c r="A61" s="11">
        <v>46046.0</v>
      </c>
      <c r="B61" s="12" t="s">
        <v>26</v>
      </c>
      <c r="C61" s="12" t="s">
        <v>13</v>
      </c>
      <c r="D61" s="12" t="s">
        <v>14</v>
      </c>
      <c r="E61" s="12" t="s">
        <v>27</v>
      </c>
      <c r="F61" s="12" t="s">
        <v>28</v>
      </c>
      <c r="G61" s="13">
        <v>7200.0</v>
      </c>
      <c r="H61" s="14">
        <v>1.89</v>
      </c>
      <c r="I61" s="15">
        <f t="shared" si="1"/>
        <v>13608</v>
      </c>
      <c r="J61" s="16" t="s">
        <v>17</v>
      </c>
      <c r="K61" s="14">
        <v>13608.0</v>
      </c>
      <c r="L61" s="17">
        <f t="shared" si="2"/>
        <v>0</v>
      </c>
    </row>
    <row r="62" ht="16.5" customHeight="1">
      <c r="A62" s="4">
        <v>46053.0</v>
      </c>
      <c r="B62" s="5" t="s">
        <v>12</v>
      </c>
      <c r="C62" s="5" t="s">
        <v>13</v>
      </c>
      <c r="D62" s="5" t="s">
        <v>14</v>
      </c>
      <c r="E62" s="5" t="s">
        <v>15</v>
      </c>
      <c r="F62" s="5" t="s">
        <v>16</v>
      </c>
      <c r="G62" s="6">
        <v>16800.0</v>
      </c>
      <c r="H62" s="7">
        <v>2.19</v>
      </c>
      <c r="I62" s="8">
        <f t="shared" si="1"/>
        <v>36792</v>
      </c>
      <c r="J62" s="9" t="s">
        <v>41</v>
      </c>
      <c r="K62" s="7">
        <v>26900.0</v>
      </c>
      <c r="L62" s="10">
        <f t="shared" si="2"/>
        <v>9892</v>
      </c>
    </row>
    <row r="63" ht="16.5" customHeight="1">
      <c r="A63" s="11">
        <v>46053.0</v>
      </c>
      <c r="B63" s="12" t="s">
        <v>18</v>
      </c>
      <c r="C63" s="12" t="s">
        <v>13</v>
      </c>
      <c r="D63" s="12" t="s">
        <v>14</v>
      </c>
      <c r="E63" s="12" t="s">
        <v>29</v>
      </c>
      <c r="F63" s="12" t="s">
        <v>46</v>
      </c>
      <c r="G63" s="13">
        <v>9200.0</v>
      </c>
      <c r="H63" s="14">
        <v>2.49</v>
      </c>
      <c r="I63" s="15">
        <f t="shared" si="1"/>
        <v>22908</v>
      </c>
      <c r="J63" s="16" t="s">
        <v>17</v>
      </c>
      <c r="K63" s="14">
        <v>22908.0</v>
      </c>
      <c r="L63" s="17">
        <f t="shared" si="2"/>
        <v>0</v>
      </c>
    </row>
    <row r="64" ht="16.5" customHeight="1">
      <c r="A64" s="4">
        <v>46053.0</v>
      </c>
      <c r="B64" s="5" t="s">
        <v>22</v>
      </c>
      <c r="C64" s="5" t="s">
        <v>19</v>
      </c>
      <c r="D64" s="5" t="s">
        <v>20</v>
      </c>
      <c r="E64" s="5" t="s">
        <v>15</v>
      </c>
      <c r="F64" s="5" t="s">
        <v>21</v>
      </c>
      <c r="G64" s="6">
        <v>4200.0</v>
      </c>
      <c r="H64" s="7">
        <v>3.49</v>
      </c>
      <c r="I64" s="8">
        <f t="shared" si="1"/>
        <v>14658</v>
      </c>
      <c r="J64" s="9" t="s">
        <v>31</v>
      </c>
      <c r="K64" s="7">
        <v>12200.0</v>
      </c>
      <c r="L64" s="10">
        <f t="shared" si="2"/>
        <v>2458</v>
      </c>
    </row>
    <row r="65" ht="16.5" customHeight="1">
      <c r="A65" s="11">
        <v>46053.0</v>
      </c>
      <c r="B65" s="12" t="s">
        <v>12</v>
      </c>
      <c r="C65" s="12" t="s">
        <v>35</v>
      </c>
      <c r="D65" s="12" t="s">
        <v>36</v>
      </c>
      <c r="E65" s="12" t="s">
        <v>29</v>
      </c>
      <c r="F65" s="12" t="s">
        <v>49</v>
      </c>
      <c r="G65" s="13">
        <v>2950.0</v>
      </c>
      <c r="H65" s="14">
        <v>1.89</v>
      </c>
      <c r="I65" s="15">
        <f t="shared" si="1"/>
        <v>5575.5</v>
      </c>
      <c r="J65" s="16" t="s">
        <v>17</v>
      </c>
      <c r="K65" s="14">
        <v>5575.5</v>
      </c>
      <c r="L65" s="17">
        <f t="shared" si="2"/>
        <v>0</v>
      </c>
    </row>
    <row r="66" ht="16.5" customHeight="1">
      <c r="A66" s="4">
        <v>46060.0</v>
      </c>
      <c r="B66" s="5" t="s">
        <v>12</v>
      </c>
      <c r="C66" s="5" t="s">
        <v>13</v>
      </c>
      <c r="D66" s="5" t="s">
        <v>14</v>
      </c>
      <c r="E66" s="5" t="s">
        <v>29</v>
      </c>
      <c r="F66" s="5" t="s">
        <v>30</v>
      </c>
      <c r="G66" s="6">
        <v>12900.0</v>
      </c>
      <c r="H66" s="7">
        <v>2.49</v>
      </c>
      <c r="I66" s="8">
        <f t="shared" si="1"/>
        <v>32121</v>
      </c>
      <c r="J66" s="9" t="s">
        <v>17</v>
      </c>
      <c r="K66" s="7">
        <v>32121.0</v>
      </c>
      <c r="L66" s="10">
        <f t="shared" si="2"/>
        <v>0</v>
      </c>
    </row>
    <row r="67" ht="16.5" customHeight="1">
      <c r="A67" s="11">
        <v>46060.0</v>
      </c>
      <c r="B67" s="12" t="s">
        <v>18</v>
      </c>
      <c r="C67" s="12" t="s">
        <v>19</v>
      </c>
      <c r="D67" s="12" t="s">
        <v>14</v>
      </c>
      <c r="E67" s="12" t="s">
        <v>15</v>
      </c>
      <c r="F67" s="12" t="s">
        <v>38</v>
      </c>
      <c r="G67" s="13">
        <v>6400.0</v>
      </c>
      <c r="H67" s="14">
        <v>2.49</v>
      </c>
      <c r="I67" s="15">
        <f t="shared" si="1"/>
        <v>15936</v>
      </c>
      <c r="J67" s="16" t="s">
        <v>17</v>
      </c>
      <c r="K67" s="14">
        <v>15936.0</v>
      </c>
      <c r="L67" s="17">
        <f t="shared" si="2"/>
        <v>0</v>
      </c>
    </row>
    <row r="68" ht="16.5" customHeight="1">
      <c r="A68" s="4">
        <v>46060.0</v>
      </c>
      <c r="B68" s="5" t="s">
        <v>22</v>
      </c>
      <c r="C68" s="5" t="s">
        <v>23</v>
      </c>
      <c r="D68" s="5" t="s">
        <v>24</v>
      </c>
      <c r="E68" s="5" t="s">
        <v>15</v>
      </c>
      <c r="F68" s="5" t="s">
        <v>52</v>
      </c>
      <c r="G68" s="6">
        <v>3250.0</v>
      </c>
      <c r="H68" s="7">
        <v>3.99</v>
      </c>
      <c r="I68" s="8">
        <f t="shared" si="1"/>
        <v>12967.5</v>
      </c>
      <c r="J68" s="9" t="s">
        <v>17</v>
      </c>
      <c r="K68" s="7">
        <v>12967.5</v>
      </c>
      <c r="L68" s="10">
        <f t="shared" si="2"/>
        <v>0</v>
      </c>
    </row>
    <row r="69" ht="16.5" customHeight="1">
      <c r="A69" s="11">
        <v>46060.0</v>
      </c>
      <c r="B69" s="12" t="s">
        <v>26</v>
      </c>
      <c r="C69" s="12" t="s">
        <v>13</v>
      </c>
      <c r="D69" s="12" t="s">
        <v>14</v>
      </c>
      <c r="E69" s="12" t="s">
        <v>15</v>
      </c>
      <c r="F69" s="12" t="s">
        <v>40</v>
      </c>
      <c r="G69" s="13">
        <v>4800.0</v>
      </c>
      <c r="H69" s="14">
        <v>2.29</v>
      </c>
      <c r="I69" s="15">
        <f t="shared" si="1"/>
        <v>10992</v>
      </c>
      <c r="J69" s="16" t="s">
        <v>17</v>
      </c>
      <c r="K69" s="14">
        <v>10992.0</v>
      </c>
      <c r="L69" s="17">
        <f t="shared" si="2"/>
        <v>0</v>
      </c>
    </row>
    <row r="70" ht="16.5" customHeight="1">
      <c r="A70" s="4">
        <v>46067.0</v>
      </c>
      <c r="B70" s="5" t="s">
        <v>12</v>
      </c>
      <c r="C70" s="5" t="s">
        <v>13</v>
      </c>
      <c r="D70" s="5" t="s">
        <v>14</v>
      </c>
      <c r="E70" s="5" t="s">
        <v>32</v>
      </c>
      <c r="F70" s="5" t="s">
        <v>55</v>
      </c>
      <c r="G70" s="6">
        <v>17500.0</v>
      </c>
      <c r="H70" s="7">
        <v>2.49</v>
      </c>
      <c r="I70" s="8">
        <f t="shared" si="1"/>
        <v>43575</v>
      </c>
      <c r="J70" s="9" t="s">
        <v>17</v>
      </c>
      <c r="K70" s="7">
        <v>43575.0</v>
      </c>
      <c r="L70" s="10">
        <f t="shared" si="2"/>
        <v>0</v>
      </c>
    </row>
    <row r="71" ht="16.5" customHeight="1">
      <c r="A71" s="11">
        <v>46067.0</v>
      </c>
      <c r="B71" s="12" t="s">
        <v>18</v>
      </c>
      <c r="C71" s="12" t="s">
        <v>13</v>
      </c>
      <c r="D71" s="12" t="s">
        <v>14</v>
      </c>
      <c r="E71" s="12" t="s">
        <v>32</v>
      </c>
      <c r="F71" s="12" t="s">
        <v>55</v>
      </c>
      <c r="G71" s="13">
        <v>11800.0</v>
      </c>
      <c r="H71" s="14">
        <v>2.49</v>
      </c>
      <c r="I71" s="15">
        <f t="shared" si="1"/>
        <v>29382</v>
      </c>
      <c r="J71" s="16" t="s">
        <v>17</v>
      </c>
      <c r="K71" s="14">
        <v>29382.0</v>
      </c>
      <c r="L71" s="17">
        <f t="shared" si="2"/>
        <v>0</v>
      </c>
    </row>
    <row r="72" ht="16.5" customHeight="1">
      <c r="A72" s="4">
        <v>46067.0</v>
      </c>
      <c r="B72" s="5" t="s">
        <v>22</v>
      </c>
      <c r="C72" s="5" t="s">
        <v>19</v>
      </c>
      <c r="D72" s="5" t="s">
        <v>20</v>
      </c>
      <c r="E72" s="5" t="s">
        <v>15</v>
      </c>
      <c r="F72" s="5" t="s">
        <v>39</v>
      </c>
      <c r="G72" s="6">
        <v>4900.0</v>
      </c>
      <c r="H72" s="7">
        <v>3.69</v>
      </c>
      <c r="I72" s="8">
        <f t="shared" si="1"/>
        <v>18081</v>
      </c>
      <c r="J72" s="9" t="s">
        <v>31</v>
      </c>
      <c r="K72" s="7">
        <v>14200.0</v>
      </c>
      <c r="L72" s="10">
        <f t="shared" si="2"/>
        <v>3881</v>
      </c>
    </row>
    <row r="73" ht="16.5" customHeight="1">
      <c r="A73" s="11">
        <v>46067.0</v>
      </c>
      <c r="B73" s="12" t="s">
        <v>12</v>
      </c>
      <c r="C73" s="12" t="s">
        <v>35</v>
      </c>
      <c r="D73" s="12" t="s">
        <v>20</v>
      </c>
      <c r="E73" s="12" t="s">
        <v>29</v>
      </c>
      <c r="F73" s="12" t="s">
        <v>34</v>
      </c>
      <c r="G73" s="13">
        <v>3600.0</v>
      </c>
      <c r="H73" s="14">
        <v>3.89</v>
      </c>
      <c r="I73" s="15">
        <f t="shared" si="1"/>
        <v>14004</v>
      </c>
      <c r="J73" s="16" t="s">
        <v>17</v>
      </c>
      <c r="K73" s="14">
        <v>14004.0</v>
      </c>
      <c r="L73" s="17">
        <f t="shared" si="2"/>
        <v>0</v>
      </c>
    </row>
    <row r="74" ht="16.5" customHeight="1">
      <c r="A74" s="4">
        <v>46074.0</v>
      </c>
      <c r="B74" s="5" t="s">
        <v>12</v>
      </c>
      <c r="C74" s="5" t="s">
        <v>13</v>
      </c>
      <c r="D74" s="5" t="s">
        <v>14</v>
      </c>
      <c r="E74" s="5" t="s">
        <v>15</v>
      </c>
      <c r="F74" s="5" t="s">
        <v>43</v>
      </c>
      <c r="G74" s="6">
        <v>15800.0</v>
      </c>
      <c r="H74" s="7">
        <v>2.19</v>
      </c>
      <c r="I74" s="8">
        <f t="shared" si="1"/>
        <v>34602</v>
      </c>
      <c r="J74" s="9" t="s">
        <v>31</v>
      </c>
      <c r="K74" s="7">
        <v>27800.0</v>
      </c>
      <c r="L74" s="10">
        <f t="shared" si="2"/>
        <v>6802</v>
      </c>
    </row>
    <row r="75" ht="16.5" customHeight="1">
      <c r="A75" s="11">
        <v>46074.0</v>
      </c>
      <c r="B75" s="12" t="s">
        <v>18</v>
      </c>
      <c r="C75" s="12" t="s">
        <v>13</v>
      </c>
      <c r="D75" s="12" t="s">
        <v>14</v>
      </c>
      <c r="E75" s="12" t="s">
        <v>27</v>
      </c>
      <c r="F75" s="12" t="s">
        <v>28</v>
      </c>
      <c r="G75" s="13">
        <v>10200.0</v>
      </c>
      <c r="H75" s="14">
        <v>2.19</v>
      </c>
      <c r="I75" s="15">
        <f t="shared" si="1"/>
        <v>22338</v>
      </c>
      <c r="J75" s="16" t="s">
        <v>17</v>
      </c>
      <c r="K75" s="14">
        <v>22338.0</v>
      </c>
      <c r="L75" s="17">
        <f t="shared" si="2"/>
        <v>0</v>
      </c>
    </row>
    <row r="76" ht="16.5" customHeight="1">
      <c r="A76" s="4">
        <v>46074.0</v>
      </c>
      <c r="B76" s="5" t="s">
        <v>12</v>
      </c>
      <c r="C76" s="5" t="s">
        <v>19</v>
      </c>
      <c r="D76" s="5" t="s">
        <v>20</v>
      </c>
      <c r="E76" s="5" t="s">
        <v>15</v>
      </c>
      <c r="F76" s="5" t="s">
        <v>21</v>
      </c>
      <c r="G76" s="6">
        <v>4500.0</v>
      </c>
      <c r="H76" s="7">
        <v>3.79</v>
      </c>
      <c r="I76" s="8">
        <f t="shared" si="1"/>
        <v>17055</v>
      </c>
      <c r="J76" s="9" t="s">
        <v>17</v>
      </c>
      <c r="K76" s="7">
        <v>17055.0</v>
      </c>
      <c r="L76" s="10">
        <f t="shared" si="2"/>
        <v>0</v>
      </c>
    </row>
    <row r="77" ht="16.5" customHeight="1">
      <c r="A77" s="11">
        <v>46074.0</v>
      </c>
      <c r="B77" s="12" t="s">
        <v>26</v>
      </c>
      <c r="C77" s="12" t="s">
        <v>23</v>
      </c>
      <c r="D77" s="12" t="s">
        <v>24</v>
      </c>
      <c r="E77" s="12" t="s">
        <v>15</v>
      </c>
      <c r="F77" s="12" t="s">
        <v>44</v>
      </c>
      <c r="G77" s="13">
        <v>2150.0</v>
      </c>
      <c r="H77" s="14">
        <v>4.29</v>
      </c>
      <c r="I77" s="15">
        <f t="shared" si="1"/>
        <v>9223.5</v>
      </c>
      <c r="J77" s="16" t="s">
        <v>17</v>
      </c>
      <c r="K77" s="14">
        <v>9223.5</v>
      </c>
      <c r="L77" s="17">
        <f t="shared" si="2"/>
        <v>0</v>
      </c>
    </row>
    <row r="78" ht="16.5" customHeight="1">
      <c r="A78" s="4">
        <v>46081.0</v>
      </c>
      <c r="B78" s="5" t="s">
        <v>12</v>
      </c>
      <c r="C78" s="5" t="s">
        <v>13</v>
      </c>
      <c r="D78" s="5" t="s">
        <v>14</v>
      </c>
      <c r="E78" s="5" t="s">
        <v>15</v>
      </c>
      <c r="F78" s="5" t="s">
        <v>16</v>
      </c>
      <c r="G78" s="6">
        <v>12100.0</v>
      </c>
      <c r="H78" s="7">
        <v>2.49</v>
      </c>
      <c r="I78" s="8">
        <f t="shared" si="1"/>
        <v>30129</v>
      </c>
      <c r="J78" s="9" t="s">
        <v>17</v>
      </c>
      <c r="K78" s="7">
        <v>30129.0</v>
      </c>
      <c r="L78" s="10">
        <f t="shared" si="2"/>
        <v>0</v>
      </c>
    </row>
    <row r="79" ht="16.5" customHeight="1">
      <c r="A79" s="11">
        <v>46081.0</v>
      </c>
      <c r="B79" s="12" t="s">
        <v>18</v>
      </c>
      <c r="C79" s="12" t="s">
        <v>19</v>
      </c>
      <c r="D79" s="12" t="s">
        <v>14</v>
      </c>
      <c r="E79" s="12" t="s">
        <v>29</v>
      </c>
      <c r="F79" s="12" t="s">
        <v>30</v>
      </c>
      <c r="G79" s="13">
        <v>7100.0</v>
      </c>
      <c r="H79" s="14">
        <v>2.39</v>
      </c>
      <c r="I79" s="15">
        <f t="shared" si="1"/>
        <v>16969</v>
      </c>
      <c r="J79" s="16" t="s">
        <v>17</v>
      </c>
      <c r="K79" s="14">
        <v>16969.0</v>
      </c>
      <c r="L79" s="17">
        <f t="shared" si="2"/>
        <v>0</v>
      </c>
    </row>
    <row r="80" ht="16.5" customHeight="1">
      <c r="A80" s="4">
        <v>46081.0</v>
      </c>
      <c r="B80" s="5" t="s">
        <v>22</v>
      </c>
      <c r="C80" s="5" t="s">
        <v>13</v>
      </c>
      <c r="D80" s="5" t="s">
        <v>14</v>
      </c>
      <c r="E80" s="5" t="s">
        <v>15</v>
      </c>
      <c r="F80" s="5" t="s">
        <v>38</v>
      </c>
      <c r="G80" s="6">
        <v>8600.0</v>
      </c>
      <c r="H80" s="7">
        <v>2.49</v>
      </c>
      <c r="I80" s="8">
        <f t="shared" si="1"/>
        <v>21414</v>
      </c>
      <c r="J80" s="9" t="s">
        <v>17</v>
      </c>
      <c r="K80" s="7">
        <v>21414.0</v>
      </c>
      <c r="L80" s="10">
        <f t="shared" si="2"/>
        <v>0</v>
      </c>
    </row>
    <row r="81" ht="16.5" customHeight="1">
      <c r="A81" s="11">
        <v>46081.0</v>
      </c>
      <c r="B81" s="12" t="s">
        <v>12</v>
      </c>
      <c r="C81" s="12" t="s">
        <v>35</v>
      </c>
      <c r="D81" s="12" t="s">
        <v>36</v>
      </c>
      <c r="E81" s="12" t="s">
        <v>15</v>
      </c>
      <c r="F81" s="12" t="s">
        <v>42</v>
      </c>
      <c r="G81" s="13">
        <v>3100.0</v>
      </c>
      <c r="H81" s="14">
        <v>1.99</v>
      </c>
      <c r="I81" s="15">
        <f t="shared" si="1"/>
        <v>6169</v>
      </c>
      <c r="J81" s="16" t="s">
        <v>17</v>
      </c>
      <c r="K81" s="14">
        <v>6169.0</v>
      </c>
      <c r="L81" s="17">
        <f t="shared" si="2"/>
        <v>0</v>
      </c>
    </row>
    <row r="82" ht="16.5" customHeight="1">
      <c r="A82" s="4">
        <v>46088.0</v>
      </c>
      <c r="B82" s="5" t="s">
        <v>12</v>
      </c>
      <c r="C82" s="5" t="s">
        <v>13</v>
      </c>
      <c r="D82" s="5" t="s">
        <v>14</v>
      </c>
      <c r="E82" s="5" t="s">
        <v>15</v>
      </c>
      <c r="F82" s="5" t="s">
        <v>40</v>
      </c>
      <c r="G82" s="6">
        <v>16400.0</v>
      </c>
      <c r="H82" s="7">
        <v>2.19</v>
      </c>
      <c r="I82" s="8">
        <f t="shared" si="1"/>
        <v>35916</v>
      </c>
      <c r="J82" s="9" t="s">
        <v>41</v>
      </c>
      <c r="K82" s="7">
        <v>26500.0</v>
      </c>
      <c r="L82" s="10">
        <f t="shared" si="2"/>
        <v>9416</v>
      </c>
    </row>
    <row r="83" ht="16.5" customHeight="1">
      <c r="A83" s="11">
        <v>46088.0</v>
      </c>
      <c r="B83" s="12" t="s">
        <v>18</v>
      </c>
      <c r="C83" s="12" t="s">
        <v>13</v>
      </c>
      <c r="D83" s="12" t="s">
        <v>20</v>
      </c>
      <c r="E83" s="12" t="s">
        <v>15</v>
      </c>
      <c r="F83" s="12" t="s">
        <v>45</v>
      </c>
      <c r="G83" s="13">
        <v>6200.0</v>
      </c>
      <c r="H83" s="14">
        <v>3.69</v>
      </c>
      <c r="I83" s="15">
        <f t="shared" si="1"/>
        <v>22878</v>
      </c>
      <c r="J83" s="16" t="s">
        <v>31</v>
      </c>
      <c r="K83" s="14">
        <v>18200.0</v>
      </c>
      <c r="L83" s="17">
        <f t="shared" si="2"/>
        <v>4678</v>
      </c>
    </row>
    <row r="84" ht="16.5" customHeight="1">
      <c r="A84" s="4">
        <v>46088.0</v>
      </c>
      <c r="B84" s="5" t="s">
        <v>12</v>
      </c>
      <c r="C84" s="5" t="s">
        <v>19</v>
      </c>
      <c r="D84" s="5" t="s">
        <v>24</v>
      </c>
      <c r="E84" s="5" t="s">
        <v>15</v>
      </c>
      <c r="F84" s="5" t="s">
        <v>25</v>
      </c>
      <c r="G84" s="6">
        <v>3400.0</v>
      </c>
      <c r="H84" s="7">
        <v>3.99</v>
      </c>
      <c r="I84" s="8">
        <f t="shared" si="1"/>
        <v>13566</v>
      </c>
      <c r="J84" s="9" t="s">
        <v>17</v>
      </c>
      <c r="K84" s="7">
        <v>13566.0</v>
      </c>
      <c r="L84" s="10">
        <f t="shared" si="2"/>
        <v>0</v>
      </c>
    </row>
    <row r="85" ht="16.5" customHeight="1">
      <c r="A85" s="11">
        <v>46088.0</v>
      </c>
      <c r="B85" s="12" t="s">
        <v>26</v>
      </c>
      <c r="C85" s="12" t="s">
        <v>13</v>
      </c>
      <c r="D85" s="12" t="s">
        <v>14</v>
      </c>
      <c r="E85" s="12" t="s">
        <v>27</v>
      </c>
      <c r="F85" s="12" t="s">
        <v>28</v>
      </c>
      <c r="G85" s="13">
        <v>7300.0</v>
      </c>
      <c r="H85" s="14">
        <v>1.89</v>
      </c>
      <c r="I85" s="15">
        <f t="shared" si="1"/>
        <v>13797</v>
      </c>
      <c r="J85" s="16" t="s">
        <v>17</v>
      </c>
      <c r="K85" s="14">
        <v>13797.0</v>
      </c>
      <c r="L85" s="17">
        <f t="shared" si="2"/>
        <v>0</v>
      </c>
    </row>
    <row r="86" ht="16.5" customHeight="1">
      <c r="A86" s="4">
        <v>46095.0</v>
      </c>
      <c r="B86" s="5" t="s">
        <v>12</v>
      </c>
      <c r="C86" s="5" t="s">
        <v>13</v>
      </c>
      <c r="D86" s="5" t="s">
        <v>14</v>
      </c>
      <c r="E86" s="5" t="s">
        <v>29</v>
      </c>
      <c r="F86" s="5" t="s">
        <v>30</v>
      </c>
      <c r="G86" s="6">
        <v>13100.0</v>
      </c>
      <c r="H86" s="7">
        <v>2.49</v>
      </c>
      <c r="I86" s="8">
        <f t="shared" si="1"/>
        <v>32619</v>
      </c>
      <c r="J86" s="9" t="s">
        <v>17</v>
      </c>
      <c r="K86" s="7">
        <v>32619.0</v>
      </c>
      <c r="L86" s="10">
        <f t="shared" si="2"/>
        <v>0</v>
      </c>
    </row>
    <row r="87" ht="16.5" customHeight="1">
      <c r="A87" s="11">
        <v>46095.0</v>
      </c>
      <c r="B87" s="12" t="s">
        <v>18</v>
      </c>
      <c r="C87" s="12" t="s">
        <v>13</v>
      </c>
      <c r="D87" s="12" t="s">
        <v>14</v>
      </c>
      <c r="E87" s="12" t="s">
        <v>15</v>
      </c>
      <c r="F87" s="12" t="s">
        <v>16</v>
      </c>
      <c r="G87" s="13">
        <v>9400.0</v>
      </c>
      <c r="H87" s="14">
        <v>2.49</v>
      </c>
      <c r="I87" s="15">
        <f t="shared" si="1"/>
        <v>23406</v>
      </c>
      <c r="J87" s="16" t="s">
        <v>17</v>
      </c>
      <c r="K87" s="14">
        <v>23406.0</v>
      </c>
      <c r="L87" s="17">
        <f t="shared" si="2"/>
        <v>0</v>
      </c>
    </row>
    <row r="88" ht="16.5" customHeight="1">
      <c r="A88" s="4">
        <v>46095.0</v>
      </c>
      <c r="B88" s="5" t="s">
        <v>22</v>
      </c>
      <c r="C88" s="5" t="s">
        <v>19</v>
      </c>
      <c r="D88" s="5" t="s">
        <v>20</v>
      </c>
      <c r="E88" s="5" t="s">
        <v>15</v>
      </c>
      <c r="F88" s="5" t="s">
        <v>21</v>
      </c>
      <c r="G88" s="6">
        <v>3900.0</v>
      </c>
      <c r="H88" s="7">
        <v>3.79</v>
      </c>
      <c r="I88" s="8">
        <f t="shared" si="1"/>
        <v>14781</v>
      </c>
      <c r="J88" s="9" t="s">
        <v>17</v>
      </c>
      <c r="K88" s="7">
        <v>14781.0</v>
      </c>
      <c r="L88" s="10">
        <f t="shared" si="2"/>
        <v>0</v>
      </c>
    </row>
    <row r="89" ht="16.5" customHeight="1">
      <c r="A89" s="11">
        <v>46095.0</v>
      </c>
      <c r="B89" s="12" t="s">
        <v>12</v>
      </c>
      <c r="C89" s="12" t="s">
        <v>23</v>
      </c>
      <c r="D89" s="12" t="s">
        <v>24</v>
      </c>
      <c r="E89" s="12" t="s">
        <v>15</v>
      </c>
      <c r="F89" s="12" t="s">
        <v>47</v>
      </c>
      <c r="G89" s="13">
        <v>4300.0</v>
      </c>
      <c r="H89" s="14">
        <v>4.19</v>
      </c>
      <c r="I89" s="15">
        <f t="shared" si="1"/>
        <v>18017</v>
      </c>
      <c r="J89" s="16" t="s">
        <v>17</v>
      </c>
      <c r="K89" s="14">
        <v>18017.0</v>
      </c>
      <c r="L89" s="17">
        <f t="shared" si="2"/>
        <v>0</v>
      </c>
    </row>
    <row r="90" ht="16.5" customHeight="1">
      <c r="A90" s="4">
        <v>46102.0</v>
      </c>
      <c r="B90" s="5" t="s">
        <v>12</v>
      </c>
      <c r="C90" s="5" t="s">
        <v>13</v>
      </c>
      <c r="D90" s="5" t="s">
        <v>14</v>
      </c>
      <c r="E90" s="5" t="s">
        <v>15</v>
      </c>
      <c r="F90" s="5" t="s">
        <v>38</v>
      </c>
      <c r="G90" s="6">
        <v>15200.0</v>
      </c>
      <c r="H90" s="7">
        <v>2.19</v>
      </c>
      <c r="I90" s="8">
        <f t="shared" si="1"/>
        <v>33288</v>
      </c>
      <c r="J90" s="9" t="s">
        <v>31</v>
      </c>
      <c r="K90" s="7">
        <v>26800.0</v>
      </c>
      <c r="L90" s="10">
        <f t="shared" si="2"/>
        <v>6488</v>
      </c>
    </row>
    <row r="91" ht="16.5" customHeight="1">
      <c r="A91" s="11">
        <v>46102.0</v>
      </c>
      <c r="B91" s="12" t="s">
        <v>18</v>
      </c>
      <c r="C91" s="12" t="s">
        <v>19</v>
      </c>
      <c r="D91" s="12" t="s">
        <v>14</v>
      </c>
      <c r="E91" s="12" t="s">
        <v>15</v>
      </c>
      <c r="F91" s="12" t="s">
        <v>43</v>
      </c>
      <c r="G91" s="13">
        <v>6700.0</v>
      </c>
      <c r="H91" s="14">
        <v>2.49</v>
      </c>
      <c r="I91" s="15">
        <f t="shared" si="1"/>
        <v>16683</v>
      </c>
      <c r="J91" s="16" t="s">
        <v>17</v>
      </c>
      <c r="K91" s="14">
        <v>16683.0</v>
      </c>
      <c r="L91" s="17">
        <f t="shared" si="2"/>
        <v>0</v>
      </c>
    </row>
    <row r="92" ht="16.5" customHeight="1">
      <c r="A92" s="4">
        <v>46102.0</v>
      </c>
      <c r="B92" s="5" t="s">
        <v>12</v>
      </c>
      <c r="C92" s="5" t="s">
        <v>35</v>
      </c>
      <c r="D92" s="5" t="s">
        <v>20</v>
      </c>
      <c r="E92" s="5" t="s">
        <v>29</v>
      </c>
      <c r="F92" s="5" t="s">
        <v>34</v>
      </c>
      <c r="G92" s="6">
        <v>3800.0</v>
      </c>
      <c r="H92" s="7">
        <v>3.89</v>
      </c>
      <c r="I92" s="8">
        <f t="shared" si="1"/>
        <v>14782</v>
      </c>
      <c r="J92" s="9" t="s">
        <v>17</v>
      </c>
      <c r="K92" s="7">
        <v>14782.0</v>
      </c>
      <c r="L92" s="10">
        <f t="shared" si="2"/>
        <v>0</v>
      </c>
    </row>
    <row r="93" ht="16.5" customHeight="1">
      <c r="A93" s="11">
        <v>46102.0</v>
      </c>
      <c r="B93" s="12" t="s">
        <v>26</v>
      </c>
      <c r="C93" s="12" t="s">
        <v>13</v>
      </c>
      <c r="D93" s="12" t="s">
        <v>36</v>
      </c>
      <c r="E93" s="12" t="s">
        <v>27</v>
      </c>
      <c r="F93" s="12" t="s">
        <v>37</v>
      </c>
      <c r="G93" s="13">
        <v>2700.0</v>
      </c>
      <c r="H93" s="14">
        <v>1.69</v>
      </c>
      <c r="I93" s="15">
        <f t="shared" si="1"/>
        <v>4563</v>
      </c>
      <c r="J93" s="16" t="s">
        <v>17</v>
      </c>
      <c r="K93" s="14">
        <v>4563.0</v>
      </c>
      <c r="L93" s="17">
        <f t="shared" si="2"/>
        <v>0</v>
      </c>
    </row>
    <row r="94" ht="16.5" customHeight="1">
      <c r="A94" s="4">
        <v>46109.0</v>
      </c>
      <c r="B94" s="5" t="s">
        <v>12</v>
      </c>
      <c r="C94" s="5" t="s">
        <v>13</v>
      </c>
      <c r="D94" s="5" t="s">
        <v>14</v>
      </c>
      <c r="E94" s="5" t="s">
        <v>32</v>
      </c>
      <c r="F94" s="5" t="s">
        <v>56</v>
      </c>
      <c r="G94" s="6">
        <v>14600.0</v>
      </c>
      <c r="H94" s="7">
        <v>2.49</v>
      </c>
      <c r="I94" s="8">
        <f t="shared" si="1"/>
        <v>36354</v>
      </c>
      <c r="J94" s="9" t="s">
        <v>17</v>
      </c>
      <c r="K94" s="7">
        <v>36354.0</v>
      </c>
      <c r="L94" s="10">
        <f t="shared" si="2"/>
        <v>0</v>
      </c>
    </row>
    <row r="95" ht="16.5" customHeight="1">
      <c r="A95" s="11">
        <v>46109.0</v>
      </c>
      <c r="B95" s="12" t="s">
        <v>18</v>
      </c>
      <c r="C95" s="12" t="s">
        <v>13</v>
      </c>
      <c r="D95" s="12" t="s">
        <v>14</v>
      </c>
      <c r="E95" s="12" t="s">
        <v>32</v>
      </c>
      <c r="F95" s="12" t="s">
        <v>56</v>
      </c>
      <c r="G95" s="13">
        <v>9800.0</v>
      </c>
      <c r="H95" s="14">
        <v>2.49</v>
      </c>
      <c r="I95" s="15">
        <f t="shared" si="1"/>
        <v>24402</v>
      </c>
      <c r="J95" s="16" t="s">
        <v>17</v>
      </c>
      <c r="K95" s="14">
        <v>24402.0</v>
      </c>
      <c r="L95" s="17">
        <f t="shared" si="2"/>
        <v>0</v>
      </c>
    </row>
    <row r="96" ht="16.5" customHeight="1">
      <c r="A96" s="4">
        <v>46109.0</v>
      </c>
      <c r="B96" s="5" t="s">
        <v>22</v>
      </c>
      <c r="C96" s="5" t="s">
        <v>13</v>
      </c>
      <c r="D96" s="5" t="s">
        <v>20</v>
      </c>
      <c r="E96" s="5" t="s">
        <v>15</v>
      </c>
      <c r="F96" s="5" t="s">
        <v>39</v>
      </c>
      <c r="G96" s="6">
        <v>5800.0</v>
      </c>
      <c r="H96" s="7">
        <v>3.69</v>
      </c>
      <c r="I96" s="8">
        <f t="shared" si="1"/>
        <v>21402</v>
      </c>
      <c r="J96" s="9" t="s">
        <v>31</v>
      </c>
      <c r="K96" s="7">
        <v>16800.0</v>
      </c>
      <c r="L96" s="10">
        <f t="shared" si="2"/>
        <v>4602</v>
      </c>
    </row>
    <row r="97" ht="16.5" customHeight="1">
      <c r="A97" s="11">
        <v>46109.0</v>
      </c>
      <c r="B97" s="12" t="s">
        <v>12</v>
      </c>
      <c r="C97" s="12" t="s">
        <v>19</v>
      </c>
      <c r="D97" s="12" t="s">
        <v>20</v>
      </c>
      <c r="E97" s="12" t="s">
        <v>15</v>
      </c>
      <c r="F97" s="12" t="s">
        <v>21</v>
      </c>
      <c r="G97" s="13">
        <v>4700.0</v>
      </c>
      <c r="H97" s="14">
        <v>3.79</v>
      </c>
      <c r="I97" s="15">
        <f t="shared" si="1"/>
        <v>17813</v>
      </c>
      <c r="J97" s="16" t="s">
        <v>17</v>
      </c>
      <c r="K97" s="14">
        <v>17813.0</v>
      </c>
      <c r="L97" s="17">
        <f t="shared" si="2"/>
        <v>0</v>
      </c>
    </row>
    <row r="98" ht="16.5" customHeight="1">
      <c r="A98" s="4">
        <v>46116.0</v>
      </c>
      <c r="B98" s="5" t="s">
        <v>12</v>
      </c>
      <c r="C98" s="5" t="s">
        <v>13</v>
      </c>
      <c r="D98" s="5" t="s">
        <v>14</v>
      </c>
      <c r="E98" s="5" t="s">
        <v>32</v>
      </c>
      <c r="F98" s="5" t="s">
        <v>57</v>
      </c>
      <c r="G98" s="6">
        <v>17900.0</v>
      </c>
      <c r="H98" s="7">
        <v>2.29</v>
      </c>
      <c r="I98" s="8">
        <f t="shared" si="1"/>
        <v>40991</v>
      </c>
      <c r="J98" s="9" t="s">
        <v>31</v>
      </c>
      <c r="K98" s="7">
        <v>31500.0</v>
      </c>
      <c r="L98" s="10">
        <f t="shared" si="2"/>
        <v>9491</v>
      </c>
    </row>
    <row r="99" ht="16.5" customHeight="1">
      <c r="A99" s="11">
        <v>46116.0</v>
      </c>
      <c r="B99" s="12" t="s">
        <v>18</v>
      </c>
      <c r="C99" s="12" t="s">
        <v>13</v>
      </c>
      <c r="D99" s="12" t="s">
        <v>14</v>
      </c>
      <c r="E99" s="12" t="s">
        <v>29</v>
      </c>
      <c r="F99" s="12" t="s">
        <v>30</v>
      </c>
      <c r="G99" s="13">
        <v>11400.0</v>
      </c>
      <c r="H99" s="14">
        <v>2.29</v>
      </c>
      <c r="I99" s="15">
        <f t="shared" si="1"/>
        <v>26106</v>
      </c>
      <c r="J99" s="16" t="s">
        <v>31</v>
      </c>
      <c r="K99" s="14">
        <v>20800.0</v>
      </c>
      <c r="L99" s="17">
        <f t="shared" si="2"/>
        <v>5306</v>
      </c>
    </row>
    <row r="100" ht="16.5" customHeight="1">
      <c r="A100" s="4">
        <v>46116.0</v>
      </c>
      <c r="B100" s="5" t="s">
        <v>22</v>
      </c>
      <c r="C100" s="5" t="s">
        <v>23</v>
      </c>
      <c r="D100" s="5" t="s">
        <v>24</v>
      </c>
      <c r="E100" s="5" t="s">
        <v>15</v>
      </c>
      <c r="F100" s="5" t="s">
        <v>52</v>
      </c>
      <c r="G100" s="6">
        <v>3400.0</v>
      </c>
      <c r="H100" s="7">
        <v>3.99</v>
      </c>
      <c r="I100" s="8">
        <f t="shared" si="1"/>
        <v>13566</v>
      </c>
      <c r="J100" s="9" t="s">
        <v>17</v>
      </c>
      <c r="K100" s="7">
        <v>13566.0</v>
      </c>
      <c r="L100" s="10">
        <f t="shared" si="2"/>
        <v>0</v>
      </c>
    </row>
    <row r="101" ht="16.5" customHeight="1">
      <c r="A101" s="11">
        <v>46116.0</v>
      </c>
      <c r="B101" s="12" t="s">
        <v>26</v>
      </c>
      <c r="C101" s="12" t="s">
        <v>35</v>
      </c>
      <c r="D101" s="12" t="s">
        <v>20</v>
      </c>
      <c r="E101" s="12" t="s">
        <v>15</v>
      </c>
      <c r="F101" s="12" t="s">
        <v>51</v>
      </c>
      <c r="G101" s="13">
        <v>2400.0</v>
      </c>
      <c r="H101" s="14">
        <v>2.99</v>
      </c>
      <c r="I101" s="15">
        <f t="shared" si="1"/>
        <v>7176</v>
      </c>
      <c r="J101" s="16" t="s">
        <v>17</v>
      </c>
      <c r="K101" s="14">
        <v>7176.0</v>
      </c>
      <c r="L101" s="17">
        <f t="shared" si="2"/>
        <v>0</v>
      </c>
    </row>
    <row r="102" ht="16.5" customHeight="1">
      <c r="A102" s="4">
        <v>46123.0</v>
      </c>
      <c r="B102" s="5" t="s">
        <v>12</v>
      </c>
      <c r="C102" s="5" t="s">
        <v>13</v>
      </c>
      <c r="D102" s="5" t="s">
        <v>14</v>
      </c>
      <c r="E102" s="5" t="s">
        <v>15</v>
      </c>
      <c r="F102" s="5" t="s">
        <v>16</v>
      </c>
      <c r="G102" s="6">
        <v>12300.0</v>
      </c>
      <c r="H102" s="7">
        <v>2.49</v>
      </c>
      <c r="I102" s="8">
        <f t="shared" si="1"/>
        <v>30627</v>
      </c>
      <c r="J102" s="9" t="s">
        <v>17</v>
      </c>
      <c r="K102" s="7">
        <v>30627.0</v>
      </c>
      <c r="L102" s="10">
        <f t="shared" si="2"/>
        <v>0</v>
      </c>
    </row>
    <row r="103" ht="16.5" customHeight="1">
      <c r="A103" s="11">
        <v>46123.0</v>
      </c>
      <c r="B103" s="12" t="s">
        <v>18</v>
      </c>
      <c r="C103" s="12" t="s">
        <v>19</v>
      </c>
      <c r="D103" s="12" t="s">
        <v>14</v>
      </c>
      <c r="E103" s="12" t="s">
        <v>15</v>
      </c>
      <c r="F103" s="12" t="s">
        <v>40</v>
      </c>
      <c r="G103" s="13">
        <v>6300.0</v>
      </c>
      <c r="H103" s="14">
        <v>2.49</v>
      </c>
      <c r="I103" s="15">
        <f t="shared" si="1"/>
        <v>15687</v>
      </c>
      <c r="J103" s="16" t="s">
        <v>17</v>
      </c>
      <c r="K103" s="14">
        <v>15687.0</v>
      </c>
      <c r="L103" s="17">
        <f t="shared" si="2"/>
        <v>0</v>
      </c>
    </row>
    <row r="104" ht="16.5" customHeight="1">
      <c r="A104" s="4">
        <v>46123.0</v>
      </c>
      <c r="B104" s="5" t="s">
        <v>12</v>
      </c>
      <c r="C104" s="5" t="s">
        <v>19</v>
      </c>
      <c r="D104" s="5" t="s">
        <v>20</v>
      </c>
      <c r="E104" s="5" t="s">
        <v>29</v>
      </c>
      <c r="F104" s="5" t="s">
        <v>34</v>
      </c>
      <c r="G104" s="6">
        <v>4200.0</v>
      </c>
      <c r="H104" s="7">
        <v>3.79</v>
      </c>
      <c r="I104" s="8">
        <f t="shared" si="1"/>
        <v>15918</v>
      </c>
      <c r="J104" s="9" t="s">
        <v>17</v>
      </c>
      <c r="K104" s="7">
        <v>15918.0</v>
      </c>
      <c r="L104" s="10">
        <f t="shared" si="2"/>
        <v>0</v>
      </c>
    </row>
    <row r="105" ht="16.5" customHeight="1">
      <c r="A105" s="11">
        <v>46123.0</v>
      </c>
      <c r="B105" s="12" t="s">
        <v>22</v>
      </c>
      <c r="C105" s="12" t="s">
        <v>35</v>
      </c>
      <c r="D105" s="12" t="s">
        <v>36</v>
      </c>
      <c r="E105" s="12" t="s">
        <v>29</v>
      </c>
      <c r="F105" s="12" t="s">
        <v>49</v>
      </c>
      <c r="G105" s="13">
        <v>2800.0</v>
      </c>
      <c r="H105" s="14">
        <v>1.89</v>
      </c>
      <c r="I105" s="15">
        <f t="shared" si="1"/>
        <v>5292</v>
      </c>
      <c r="J105" s="16" t="s">
        <v>17</v>
      </c>
      <c r="K105" s="14">
        <v>5292.0</v>
      </c>
      <c r="L105" s="17">
        <f t="shared" si="2"/>
        <v>0</v>
      </c>
    </row>
    <row r="106" ht="16.5" customHeight="1">
      <c r="A106" s="4">
        <v>46130.0</v>
      </c>
      <c r="B106" s="5" t="s">
        <v>12</v>
      </c>
      <c r="C106" s="5" t="s">
        <v>13</v>
      </c>
      <c r="D106" s="5" t="s">
        <v>14</v>
      </c>
      <c r="E106" s="5" t="s">
        <v>29</v>
      </c>
      <c r="F106" s="5" t="s">
        <v>30</v>
      </c>
      <c r="G106" s="6">
        <v>15600.0</v>
      </c>
      <c r="H106" s="7">
        <v>2.19</v>
      </c>
      <c r="I106" s="8">
        <f t="shared" si="1"/>
        <v>34164</v>
      </c>
      <c r="J106" s="9" t="s">
        <v>41</v>
      </c>
      <c r="K106" s="7">
        <v>25200.0</v>
      </c>
      <c r="L106" s="10">
        <f t="shared" si="2"/>
        <v>8964</v>
      </c>
    </row>
    <row r="107" ht="16.5" customHeight="1">
      <c r="A107" s="11">
        <v>46130.0</v>
      </c>
      <c r="B107" s="12" t="s">
        <v>18</v>
      </c>
      <c r="C107" s="12" t="s">
        <v>13</v>
      </c>
      <c r="D107" s="12" t="s">
        <v>14</v>
      </c>
      <c r="E107" s="12" t="s">
        <v>27</v>
      </c>
      <c r="F107" s="12" t="s">
        <v>28</v>
      </c>
      <c r="G107" s="13">
        <v>10800.0</v>
      </c>
      <c r="H107" s="14">
        <v>2.19</v>
      </c>
      <c r="I107" s="15">
        <f t="shared" si="1"/>
        <v>23652</v>
      </c>
      <c r="J107" s="16" t="s">
        <v>17</v>
      </c>
      <c r="K107" s="14">
        <v>23652.0</v>
      </c>
      <c r="L107" s="17">
        <f t="shared" si="2"/>
        <v>0</v>
      </c>
    </row>
    <row r="108" ht="16.5" customHeight="1">
      <c r="A108" s="4">
        <v>46130.0</v>
      </c>
      <c r="B108" s="5" t="s">
        <v>12</v>
      </c>
      <c r="C108" s="5" t="s">
        <v>23</v>
      </c>
      <c r="D108" s="5" t="s">
        <v>24</v>
      </c>
      <c r="E108" s="5" t="s">
        <v>15</v>
      </c>
      <c r="F108" s="5" t="s">
        <v>44</v>
      </c>
      <c r="G108" s="6">
        <v>4400.0</v>
      </c>
      <c r="H108" s="7">
        <v>3.99</v>
      </c>
      <c r="I108" s="8">
        <f t="shared" si="1"/>
        <v>17556</v>
      </c>
      <c r="J108" s="9" t="s">
        <v>17</v>
      </c>
      <c r="K108" s="7">
        <v>17556.0</v>
      </c>
      <c r="L108" s="10">
        <f t="shared" si="2"/>
        <v>0</v>
      </c>
    </row>
    <row r="109" ht="16.5" customHeight="1">
      <c r="A109" s="11">
        <v>46130.0</v>
      </c>
      <c r="B109" s="12" t="s">
        <v>26</v>
      </c>
      <c r="C109" s="12" t="s">
        <v>13</v>
      </c>
      <c r="D109" s="12" t="s">
        <v>14</v>
      </c>
      <c r="E109" s="12" t="s">
        <v>15</v>
      </c>
      <c r="F109" s="12" t="s">
        <v>38</v>
      </c>
      <c r="G109" s="13">
        <v>5100.0</v>
      </c>
      <c r="H109" s="14">
        <v>2.29</v>
      </c>
      <c r="I109" s="15">
        <f t="shared" si="1"/>
        <v>11679</v>
      </c>
      <c r="J109" s="16" t="s">
        <v>17</v>
      </c>
      <c r="K109" s="14">
        <v>11679.0</v>
      </c>
      <c r="L109" s="17">
        <f t="shared" si="2"/>
        <v>0</v>
      </c>
    </row>
    <row r="110" ht="16.5" customHeight="1">
      <c r="A110" s="4">
        <v>46137.0</v>
      </c>
      <c r="B110" s="5" t="s">
        <v>12</v>
      </c>
      <c r="C110" s="5" t="s">
        <v>13</v>
      </c>
      <c r="D110" s="5" t="s">
        <v>14</v>
      </c>
      <c r="E110" s="5" t="s">
        <v>15</v>
      </c>
      <c r="F110" s="5" t="s">
        <v>43</v>
      </c>
      <c r="G110" s="6">
        <v>12800.0</v>
      </c>
      <c r="H110" s="7">
        <v>2.49</v>
      </c>
      <c r="I110" s="8">
        <f t="shared" si="1"/>
        <v>31872</v>
      </c>
      <c r="J110" s="9" t="s">
        <v>17</v>
      </c>
      <c r="K110" s="7">
        <v>31872.0</v>
      </c>
      <c r="L110" s="10">
        <f t="shared" si="2"/>
        <v>0</v>
      </c>
    </row>
    <row r="111" ht="16.5" customHeight="1">
      <c r="A111" s="11">
        <v>46137.0</v>
      </c>
      <c r="B111" s="12" t="s">
        <v>18</v>
      </c>
      <c r="C111" s="12" t="s">
        <v>13</v>
      </c>
      <c r="D111" s="12" t="s">
        <v>14</v>
      </c>
      <c r="E111" s="12" t="s">
        <v>15</v>
      </c>
      <c r="F111" s="12" t="s">
        <v>16</v>
      </c>
      <c r="G111" s="13">
        <v>9600.0</v>
      </c>
      <c r="H111" s="14">
        <v>2.49</v>
      </c>
      <c r="I111" s="15">
        <f t="shared" si="1"/>
        <v>23904</v>
      </c>
      <c r="J111" s="16" t="s">
        <v>17</v>
      </c>
      <c r="K111" s="14">
        <v>23904.0</v>
      </c>
      <c r="L111" s="17">
        <f t="shared" si="2"/>
        <v>0</v>
      </c>
    </row>
    <row r="112" ht="16.5" customHeight="1">
      <c r="A112" s="4">
        <v>46137.0</v>
      </c>
      <c r="B112" s="5" t="s">
        <v>22</v>
      </c>
      <c r="C112" s="5" t="s">
        <v>19</v>
      </c>
      <c r="D112" s="5" t="s">
        <v>20</v>
      </c>
      <c r="E112" s="5" t="s">
        <v>15</v>
      </c>
      <c r="F112" s="5" t="s">
        <v>45</v>
      </c>
      <c r="G112" s="6">
        <v>3800.0</v>
      </c>
      <c r="H112" s="7">
        <v>3.89</v>
      </c>
      <c r="I112" s="8">
        <f t="shared" si="1"/>
        <v>14782</v>
      </c>
      <c r="J112" s="9" t="s">
        <v>17</v>
      </c>
      <c r="K112" s="7">
        <v>14782.0</v>
      </c>
      <c r="L112" s="10">
        <f t="shared" si="2"/>
        <v>0</v>
      </c>
    </row>
    <row r="113" ht="16.5" customHeight="1">
      <c r="A113" s="11">
        <v>46137.0</v>
      </c>
      <c r="B113" s="12" t="s">
        <v>12</v>
      </c>
      <c r="C113" s="12" t="s">
        <v>35</v>
      </c>
      <c r="D113" s="12" t="s">
        <v>36</v>
      </c>
      <c r="E113" s="12" t="s">
        <v>15</v>
      </c>
      <c r="F113" s="12" t="s">
        <v>53</v>
      </c>
      <c r="G113" s="13">
        <v>3250.0</v>
      </c>
      <c r="H113" s="14">
        <v>1.99</v>
      </c>
      <c r="I113" s="15">
        <f t="shared" si="1"/>
        <v>6467.5</v>
      </c>
      <c r="J113" s="16" t="s">
        <v>17</v>
      </c>
      <c r="K113" s="14">
        <v>6467.5</v>
      </c>
      <c r="L113" s="17">
        <f t="shared" si="2"/>
        <v>0</v>
      </c>
    </row>
    <row r="114" ht="16.5" customHeight="1">
      <c r="A114" s="4">
        <v>46144.0</v>
      </c>
      <c r="B114" s="5" t="s">
        <v>12</v>
      </c>
      <c r="C114" s="5" t="s">
        <v>13</v>
      </c>
      <c r="D114" s="5" t="s">
        <v>14</v>
      </c>
      <c r="E114" s="5" t="s">
        <v>15</v>
      </c>
      <c r="F114" s="5" t="s">
        <v>38</v>
      </c>
      <c r="G114" s="6">
        <v>16900.0</v>
      </c>
      <c r="H114" s="7">
        <v>2.19</v>
      </c>
      <c r="I114" s="8">
        <f t="shared" si="1"/>
        <v>37011</v>
      </c>
      <c r="J114" s="9" t="s">
        <v>41</v>
      </c>
      <c r="K114" s="7">
        <v>27400.0</v>
      </c>
      <c r="L114" s="10">
        <f t="shared" si="2"/>
        <v>9611</v>
      </c>
    </row>
    <row r="115" ht="16.5" customHeight="1">
      <c r="A115" s="11">
        <v>46144.0</v>
      </c>
      <c r="B115" s="12" t="s">
        <v>18</v>
      </c>
      <c r="C115" s="12" t="s">
        <v>19</v>
      </c>
      <c r="D115" s="12" t="s">
        <v>20</v>
      </c>
      <c r="E115" s="12" t="s">
        <v>15</v>
      </c>
      <c r="F115" s="12" t="s">
        <v>21</v>
      </c>
      <c r="G115" s="13">
        <v>5100.0</v>
      </c>
      <c r="H115" s="14">
        <v>3.59</v>
      </c>
      <c r="I115" s="15">
        <f t="shared" si="1"/>
        <v>18309</v>
      </c>
      <c r="J115" s="16" t="s">
        <v>31</v>
      </c>
      <c r="K115" s="14">
        <v>14500.0</v>
      </c>
      <c r="L115" s="17">
        <f t="shared" si="2"/>
        <v>3809</v>
      </c>
    </row>
    <row r="116" ht="16.5" customHeight="1">
      <c r="A116" s="4">
        <v>46144.0</v>
      </c>
      <c r="B116" s="5" t="s">
        <v>22</v>
      </c>
      <c r="C116" s="5" t="s">
        <v>13</v>
      </c>
      <c r="D116" s="5" t="s">
        <v>14</v>
      </c>
      <c r="E116" s="5" t="s">
        <v>29</v>
      </c>
      <c r="F116" s="5" t="s">
        <v>46</v>
      </c>
      <c r="G116" s="6">
        <v>8900.0</v>
      </c>
      <c r="H116" s="7">
        <v>2.49</v>
      </c>
      <c r="I116" s="8">
        <f t="shared" si="1"/>
        <v>22161</v>
      </c>
      <c r="J116" s="9" t="s">
        <v>17</v>
      </c>
      <c r="K116" s="7">
        <v>22161.0</v>
      </c>
      <c r="L116" s="10">
        <f t="shared" si="2"/>
        <v>0</v>
      </c>
    </row>
    <row r="117" ht="16.5" customHeight="1">
      <c r="A117" s="11">
        <v>46144.0</v>
      </c>
      <c r="B117" s="12" t="s">
        <v>26</v>
      </c>
      <c r="C117" s="12" t="s">
        <v>23</v>
      </c>
      <c r="D117" s="12" t="s">
        <v>24</v>
      </c>
      <c r="E117" s="12" t="s">
        <v>15</v>
      </c>
      <c r="F117" s="12" t="s">
        <v>25</v>
      </c>
      <c r="G117" s="13">
        <v>2200.0</v>
      </c>
      <c r="H117" s="14">
        <v>4.29</v>
      </c>
      <c r="I117" s="15">
        <f t="shared" si="1"/>
        <v>9438</v>
      </c>
      <c r="J117" s="16" t="s">
        <v>17</v>
      </c>
      <c r="K117" s="14">
        <v>9438.0</v>
      </c>
      <c r="L117" s="17">
        <f t="shared" si="2"/>
        <v>0</v>
      </c>
    </row>
    <row r="118" ht="16.5" customHeight="1">
      <c r="A118" s="4">
        <v>46151.0</v>
      </c>
      <c r="B118" s="5" t="s">
        <v>12</v>
      </c>
      <c r="C118" s="5" t="s">
        <v>13</v>
      </c>
      <c r="D118" s="5" t="s">
        <v>14</v>
      </c>
      <c r="E118" s="5" t="s">
        <v>29</v>
      </c>
      <c r="F118" s="5" t="s">
        <v>30</v>
      </c>
      <c r="G118" s="6">
        <v>13300.0</v>
      </c>
      <c r="H118" s="7">
        <v>2.49</v>
      </c>
      <c r="I118" s="8">
        <f t="shared" si="1"/>
        <v>33117</v>
      </c>
      <c r="J118" s="9" t="s">
        <v>17</v>
      </c>
      <c r="K118" s="7">
        <v>33117.0</v>
      </c>
      <c r="L118" s="10">
        <f t="shared" si="2"/>
        <v>0</v>
      </c>
    </row>
    <row r="119" ht="16.5" customHeight="1">
      <c r="A119" s="11">
        <v>46151.0</v>
      </c>
      <c r="B119" s="12" t="s">
        <v>18</v>
      </c>
      <c r="C119" s="12" t="s">
        <v>13</v>
      </c>
      <c r="D119" s="12" t="s">
        <v>14</v>
      </c>
      <c r="E119" s="12" t="s">
        <v>15</v>
      </c>
      <c r="F119" s="12" t="s">
        <v>40</v>
      </c>
      <c r="G119" s="13">
        <v>9900.0</v>
      </c>
      <c r="H119" s="14">
        <v>2.49</v>
      </c>
      <c r="I119" s="15">
        <f t="shared" si="1"/>
        <v>24651</v>
      </c>
      <c r="J119" s="16" t="s">
        <v>17</v>
      </c>
      <c r="K119" s="14">
        <v>24651.0</v>
      </c>
      <c r="L119" s="17">
        <f t="shared" si="2"/>
        <v>0</v>
      </c>
    </row>
    <row r="120" ht="16.5" customHeight="1">
      <c r="A120" s="4">
        <v>46151.0</v>
      </c>
      <c r="B120" s="5" t="s">
        <v>12</v>
      </c>
      <c r="C120" s="5" t="s">
        <v>19</v>
      </c>
      <c r="D120" s="5" t="s">
        <v>14</v>
      </c>
      <c r="E120" s="5" t="s">
        <v>15</v>
      </c>
      <c r="F120" s="5" t="s">
        <v>16</v>
      </c>
      <c r="G120" s="6">
        <v>6600.0</v>
      </c>
      <c r="H120" s="7">
        <v>2.49</v>
      </c>
      <c r="I120" s="8">
        <f t="shared" si="1"/>
        <v>16434</v>
      </c>
      <c r="J120" s="9" t="s">
        <v>17</v>
      </c>
      <c r="K120" s="7">
        <v>16434.0</v>
      </c>
      <c r="L120" s="10">
        <f t="shared" si="2"/>
        <v>0</v>
      </c>
    </row>
    <row r="121" ht="16.5" customHeight="1">
      <c r="A121" s="11">
        <v>46151.0</v>
      </c>
      <c r="B121" s="12" t="s">
        <v>22</v>
      </c>
      <c r="C121" s="12" t="s">
        <v>35</v>
      </c>
      <c r="D121" s="12" t="s">
        <v>20</v>
      </c>
      <c r="E121" s="12" t="s">
        <v>15</v>
      </c>
      <c r="F121" s="12" t="s">
        <v>39</v>
      </c>
      <c r="G121" s="13">
        <v>3400.0</v>
      </c>
      <c r="H121" s="14">
        <v>3.89</v>
      </c>
      <c r="I121" s="15">
        <f t="shared" si="1"/>
        <v>13226</v>
      </c>
      <c r="J121" s="16" t="s">
        <v>17</v>
      </c>
      <c r="K121" s="14">
        <v>13226.0</v>
      </c>
      <c r="L121" s="17">
        <f t="shared" si="2"/>
        <v>0</v>
      </c>
    </row>
    <row r="122" ht="16.5" customHeight="1">
      <c r="A122" s="4">
        <v>46158.0</v>
      </c>
      <c r="B122" s="5" t="s">
        <v>12</v>
      </c>
      <c r="C122" s="5" t="s">
        <v>13</v>
      </c>
      <c r="D122" s="5" t="s">
        <v>14</v>
      </c>
      <c r="E122" s="5" t="s">
        <v>15</v>
      </c>
      <c r="F122" s="5" t="s">
        <v>16</v>
      </c>
      <c r="G122" s="6">
        <v>17200.0</v>
      </c>
      <c r="H122" s="7">
        <v>2.19</v>
      </c>
      <c r="I122" s="8">
        <f t="shared" si="1"/>
        <v>37668</v>
      </c>
      <c r="J122" s="9" t="s">
        <v>41</v>
      </c>
      <c r="K122" s="7">
        <v>28300.0</v>
      </c>
      <c r="L122" s="10">
        <f t="shared" si="2"/>
        <v>9368</v>
      </c>
    </row>
    <row r="123" ht="16.5" customHeight="1">
      <c r="A123" s="11">
        <v>46158.0</v>
      </c>
      <c r="B123" s="12" t="s">
        <v>18</v>
      </c>
      <c r="C123" s="12" t="s">
        <v>13</v>
      </c>
      <c r="D123" s="12" t="s">
        <v>20</v>
      </c>
      <c r="E123" s="12" t="s">
        <v>29</v>
      </c>
      <c r="F123" s="12" t="s">
        <v>34</v>
      </c>
      <c r="G123" s="13">
        <v>6100.0</v>
      </c>
      <c r="H123" s="14">
        <v>3.69</v>
      </c>
      <c r="I123" s="15">
        <f t="shared" si="1"/>
        <v>22509</v>
      </c>
      <c r="J123" s="16" t="s">
        <v>31</v>
      </c>
      <c r="K123" s="14">
        <v>17900.0</v>
      </c>
      <c r="L123" s="17">
        <f t="shared" si="2"/>
        <v>4609</v>
      </c>
    </row>
    <row r="124" ht="16.5" customHeight="1">
      <c r="A124" s="4">
        <v>46158.0</v>
      </c>
      <c r="B124" s="5" t="s">
        <v>12</v>
      </c>
      <c r="C124" s="5" t="s">
        <v>23</v>
      </c>
      <c r="D124" s="5" t="s">
        <v>24</v>
      </c>
      <c r="E124" s="5" t="s">
        <v>15</v>
      </c>
      <c r="F124" s="5" t="s">
        <v>47</v>
      </c>
      <c r="G124" s="6">
        <v>4500.0</v>
      </c>
      <c r="H124" s="7">
        <v>4.19</v>
      </c>
      <c r="I124" s="8">
        <f t="shared" si="1"/>
        <v>18855</v>
      </c>
      <c r="J124" s="9" t="s">
        <v>17</v>
      </c>
      <c r="K124" s="7">
        <v>18855.0</v>
      </c>
      <c r="L124" s="10">
        <f t="shared" si="2"/>
        <v>0</v>
      </c>
    </row>
    <row r="125" ht="16.5" customHeight="1">
      <c r="A125" s="11">
        <v>46158.0</v>
      </c>
      <c r="B125" s="12" t="s">
        <v>26</v>
      </c>
      <c r="C125" s="12" t="s">
        <v>13</v>
      </c>
      <c r="D125" s="12" t="s">
        <v>14</v>
      </c>
      <c r="E125" s="12" t="s">
        <v>27</v>
      </c>
      <c r="F125" s="12" t="s">
        <v>28</v>
      </c>
      <c r="G125" s="13">
        <v>7400.0</v>
      </c>
      <c r="H125" s="14">
        <v>1.89</v>
      </c>
      <c r="I125" s="15">
        <f t="shared" si="1"/>
        <v>13986</v>
      </c>
      <c r="J125" s="16" t="s">
        <v>17</v>
      </c>
      <c r="K125" s="14">
        <v>13986.0</v>
      </c>
      <c r="L125" s="17">
        <f t="shared" si="2"/>
        <v>0</v>
      </c>
    </row>
    <row r="126" ht="16.5" customHeight="1">
      <c r="A126" s="4">
        <v>46165.0</v>
      </c>
      <c r="B126" s="5" t="s">
        <v>12</v>
      </c>
      <c r="C126" s="5" t="s">
        <v>13</v>
      </c>
      <c r="D126" s="5" t="s">
        <v>14</v>
      </c>
      <c r="E126" s="5" t="s">
        <v>32</v>
      </c>
      <c r="F126" s="5" t="s">
        <v>58</v>
      </c>
      <c r="G126" s="6">
        <v>18800.0</v>
      </c>
      <c r="H126" s="7">
        <v>2.29</v>
      </c>
      <c r="I126" s="8">
        <f t="shared" si="1"/>
        <v>43052</v>
      </c>
      <c r="J126" s="9" t="s">
        <v>41</v>
      </c>
      <c r="K126" s="7">
        <v>32400.0</v>
      </c>
      <c r="L126" s="10">
        <f t="shared" si="2"/>
        <v>10652</v>
      </c>
    </row>
    <row r="127" ht="16.5" customHeight="1">
      <c r="A127" s="11">
        <v>46165.0</v>
      </c>
      <c r="B127" s="12" t="s">
        <v>18</v>
      </c>
      <c r="C127" s="12" t="s">
        <v>13</v>
      </c>
      <c r="D127" s="12" t="s">
        <v>14</v>
      </c>
      <c r="E127" s="12" t="s">
        <v>32</v>
      </c>
      <c r="F127" s="12" t="s">
        <v>58</v>
      </c>
      <c r="G127" s="13">
        <v>12400.0</v>
      </c>
      <c r="H127" s="14">
        <v>2.29</v>
      </c>
      <c r="I127" s="15">
        <f t="shared" si="1"/>
        <v>28396</v>
      </c>
      <c r="J127" s="16" t="s">
        <v>31</v>
      </c>
      <c r="K127" s="14">
        <v>22200.0</v>
      </c>
      <c r="L127" s="17">
        <f t="shared" si="2"/>
        <v>6196</v>
      </c>
    </row>
    <row r="128" ht="16.5" customHeight="1">
      <c r="A128" s="4">
        <v>46165.0</v>
      </c>
      <c r="B128" s="5" t="s">
        <v>22</v>
      </c>
      <c r="C128" s="5" t="s">
        <v>19</v>
      </c>
      <c r="D128" s="5" t="s">
        <v>20</v>
      </c>
      <c r="E128" s="5" t="s">
        <v>15</v>
      </c>
      <c r="F128" s="5" t="s">
        <v>21</v>
      </c>
      <c r="G128" s="6">
        <v>4300.0</v>
      </c>
      <c r="H128" s="7">
        <v>3.79</v>
      </c>
      <c r="I128" s="8">
        <f t="shared" si="1"/>
        <v>16297</v>
      </c>
      <c r="J128" s="9" t="s">
        <v>17</v>
      </c>
      <c r="K128" s="7">
        <v>16297.0</v>
      </c>
      <c r="L128" s="10">
        <f t="shared" si="2"/>
        <v>0</v>
      </c>
    </row>
    <row r="129" ht="16.5" customHeight="1">
      <c r="A129" s="11">
        <v>46165.0</v>
      </c>
      <c r="B129" s="12" t="s">
        <v>12</v>
      </c>
      <c r="C129" s="12" t="s">
        <v>35</v>
      </c>
      <c r="D129" s="12" t="s">
        <v>36</v>
      </c>
      <c r="E129" s="12" t="s">
        <v>27</v>
      </c>
      <c r="F129" s="12" t="s">
        <v>37</v>
      </c>
      <c r="G129" s="13">
        <v>3300.0</v>
      </c>
      <c r="H129" s="14">
        <v>1.79</v>
      </c>
      <c r="I129" s="15">
        <f t="shared" si="1"/>
        <v>5907</v>
      </c>
      <c r="J129" s="16" t="s">
        <v>17</v>
      </c>
      <c r="K129" s="14">
        <v>5907.0</v>
      </c>
      <c r="L129" s="17">
        <f t="shared" si="2"/>
        <v>0</v>
      </c>
    </row>
    <row r="130" ht="16.5" customHeight="1">
      <c r="A130" s="4">
        <v>46172.0</v>
      </c>
      <c r="B130" s="5" t="s">
        <v>12</v>
      </c>
      <c r="C130" s="5" t="s">
        <v>13</v>
      </c>
      <c r="D130" s="5" t="s">
        <v>14</v>
      </c>
      <c r="E130" s="5" t="s">
        <v>32</v>
      </c>
      <c r="F130" s="5" t="s">
        <v>58</v>
      </c>
      <c r="G130" s="6">
        <v>17100.0</v>
      </c>
      <c r="H130" s="7">
        <v>2.49</v>
      </c>
      <c r="I130" s="8">
        <f t="shared" si="1"/>
        <v>42579</v>
      </c>
      <c r="J130" s="9" t="s">
        <v>17</v>
      </c>
      <c r="K130" s="7">
        <v>42579.0</v>
      </c>
      <c r="L130" s="10">
        <f t="shared" si="2"/>
        <v>0</v>
      </c>
    </row>
    <row r="131" ht="16.5" customHeight="1">
      <c r="A131" s="11">
        <v>46172.0</v>
      </c>
      <c r="B131" s="12" t="s">
        <v>18</v>
      </c>
      <c r="C131" s="12" t="s">
        <v>19</v>
      </c>
      <c r="D131" s="12" t="s">
        <v>14</v>
      </c>
      <c r="E131" s="12" t="s">
        <v>29</v>
      </c>
      <c r="F131" s="12" t="s">
        <v>30</v>
      </c>
      <c r="G131" s="13">
        <v>7400.0</v>
      </c>
      <c r="H131" s="14">
        <v>2.39</v>
      </c>
      <c r="I131" s="15">
        <f t="shared" si="1"/>
        <v>17686</v>
      </c>
      <c r="J131" s="16" t="s">
        <v>17</v>
      </c>
      <c r="K131" s="14">
        <v>17686.0</v>
      </c>
      <c r="L131" s="17">
        <f t="shared" si="2"/>
        <v>0</v>
      </c>
    </row>
    <row r="132" ht="16.5" customHeight="1">
      <c r="A132" s="4">
        <v>46172.0</v>
      </c>
      <c r="B132" s="5" t="s">
        <v>22</v>
      </c>
      <c r="C132" s="5" t="s">
        <v>13</v>
      </c>
      <c r="D132" s="5" t="s">
        <v>14</v>
      </c>
      <c r="E132" s="5" t="s">
        <v>15</v>
      </c>
      <c r="F132" s="5" t="s">
        <v>43</v>
      </c>
      <c r="G132" s="6">
        <v>9100.0</v>
      </c>
      <c r="H132" s="7">
        <v>2.49</v>
      </c>
      <c r="I132" s="8">
        <f t="shared" si="1"/>
        <v>22659</v>
      </c>
      <c r="J132" s="9" t="s">
        <v>17</v>
      </c>
      <c r="K132" s="7">
        <v>22659.0</v>
      </c>
      <c r="L132" s="10">
        <f t="shared" si="2"/>
        <v>0</v>
      </c>
    </row>
    <row r="133" ht="16.5" customHeight="1">
      <c r="A133" s="11">
        <v>46172.0</v>
      </c>
      <c r="B133" s="12" t="s">
        <v>26</v>
      </c>
      <c r="C133" s="12" t="s">
        <v>23</v>
      </c>
      <c r="D133" s="12" t="s">
        <v>24</v>
      </c>
      <c r="E133" s="12" t="s">
        <v>15</v>
      </c>
      <c r="F133" s="12" t="s">
        <v>52</v>
      </c>
      <c r="G133" s="13">
        <v>2250.0</v>
      </c>
      <c r="H133" s="14">
        <v>4.19</v>
      </c>
      <c r="I133" s="15">
        <f t="shared" si="1"/>
        <v>9427.5</v>
      </c>
      <c r="J133" s="16" t="s">
        <v>17</v>
      </c>
      <c r="K133" s="14">
        <v>9427.5</v>
      </c>
      <c r="L133" s="17">
        <f t="shared" si="2"/>
        <v>0</v>
      </c>
    </row>
    <row r="134" ht="16.5" customHeight="1">
      <c r="A134" s="4">
        <v>46179.0</v>
      </c>
      <c r="B134" s="5" t="s">
        <v>12</v>
      </c>
      <c r="C134" s="5" t="s">
        <v>13</v>
      </c>
      <c r="D134" s="5" t="s">
        <v>14</v>
      </c>
      <c r="E134" s="5" t="s">
        <v>15</v>
      </c>
      <c r="F134" s="5" t="s">
        <v>38</v>
      </c>
      <c r="G134" s="6">
        <v>13500.0</v>
      </c>
      <c r="H134" s="7">
        <v>2.49</v>
      </c>
      <c r="I134" s="8">
        <f t="shared" si="1"/>
        <v>33615</v>
      </c>
      <c r="J134" s="9" t="s">
        <v>17</v>
      </c>
      <c r="K134" s="7">
        <v>33615.0</v>
      </c>
      <c r="L134" s="10">
        <f t="shared" si="2"/>
        <v>0</v>
      </c>
    </row>
    <row r="135" ht="16.5" customHeight="1">
      <c r="A135" s="11">
        <v>46179.0</v>
      </c>
      <c r="B135" s="12" t="s">
        <v>18</v>
      </c>
      <c r="C135" s="12" t="s">
        <v>13</v>
      </c>
      <c r="D135" s="12" t="s">
        <v>14</v>
      </c>
      <c r="E135" s="12" t="s">
        <v>15</v>
      </c>
      <c r="F135" s="12" t="s">
        <v>16</v>
      </c>
      <c r="G135" s="13">
        <v>9800.0</v>
      </c>
      <c r="H135" s="14">
        <v>2.49</v>
      </c>
      <c r="I135" s="15">
        <f t="shared" si="1"/>
        <v>24402</v>
      </c>
      <c r="J135" s="16" t="s">
        <v>17</v>
      </c>
      <c r="K135" s="14">
        <v>24402.0</v>
      </c>
      <c r="L135" s="17">
        <f t="shared" si="2"/>
        <v>0</v>
      </c>
    </row>
    <row r="136" ht="16.5" customHeight="1">
      <c r="A136" s="4">
        <v>46179.0</v>
      </c>
      <c r="B136" s="5" t="s">
        <v>12</v>
      </c>
      <c r="C136" s="5" t="s">
        <v>19</v>
      </c>
      <c r="D136" s="5" t="s">
        <v>20</v>
      </c>
      <c r="E136" s="5" t="s">
        <v>15</v>
      </c>
      <c r="F136" s="5" t="s">
        <v>45</v>
      </c>
      <c r="G136" s="6">
        <v>4400.0</v>
      </c>
      <c r="H136" s="7">
        <v>3.89</v>
      </c>
      <c r="I136" s="8">
        <f t="shared" si="1"/>
        <v>17116</v>
      </c>
      <c r="J136" s="9" t="s">
        <v>17</v>
      </c>
      <c r="K136" s="7">
        <v>17116.0</v>
      </c>
      <c r="L136" s="10">
        <f t="shared" si="2"/>
        <v>0</v>
      </c>
    </row>
    <row r="137" ht="16.5" customHeight="1">
      <c r="A137" s="11">
        <v>46179.0</v>
      </c>
      <c r="B137" s="12" t="s">
        <v>22</v>
      </c>
      <c r="C137" s="12" t="s">
        <v>35</v>
      </c>
      <c r="D137" s="12" t="s">
        <v>24</v>
      </c>
      <c r="E137" s="12" t="s">
        <v>15</v>
      </c>
      <c r="F137" s="12" t="s">
        <v>44</v>
      </c>
      <c r="G137" s="13">
        <v>2600.0</v>
      </c>
      <c r="H137" s="14">
        <v>4.19</v>
      </c>
      <c r="I137" s="15">
        <f t="shared" si="1"/>
        <v>10894</v>
      </c>
      <c r="J137" s="16" t="s">
        <v>17</v>
      </c>
      <c r="K137" s="14">
        <v>10894.0</v>
      </c>
      <c r="L137" s="17">
        <f t="shared" si="2"/>
        <v>0</v>
      </c>
    </row>
    <row r="138" ht="16.5" customHeight="1">
      <c r="A138" s="4">
        <v>46186.0</v>
      </c>
      <c r="B138" s="5" t="s">
        <v>12</v>
      </c>
      <c r="C138" s="5" t="s">
        <v>13</v>
      </c>
      <c r="D138" s="5" t="s">
        <v>14</v>
      </c>
      <c r="E138" s="5" t="s">
        <v>29</v>
      </c>
      <c r="F138" s="5" t="s">
        <v>30</v>
      </c>
      <c r="G138" s="6">
        <v>16500.0</v>
      </c>
      <c r="H138" s="7">
        <v>2.19</v>
      </c>
      <c r="I138" s="8">
        <f t="shared" si="1"/>
        <v>36135</v>
      </c>
      <c r="J138" s="9" t="s">
        <v>31</v>
      </c>
      <c r="K138" s="7">
        <v>28500.0</v>
      </c>
      <c r="L138" s="10">
        <f t="shared" si="2"/>
        <v>7635</v>
      </c>
    </row>
    <row r="139" ht="16.5" customHeight="1">
      <c r="A139" s="11">
        <v>46186.0</v>
      </c>
      <c r="B139" s="12" t="s">
        <v>18</v>
      </c>
      <c r="C139" s="12" t="s">
        <v>13</v>
      </c>
      <c r="D139" s="12" t="s">
        <v>14</v>
      </c>
      <c r="E139" s="12" t="s">
        <v>27</v>
      </c>
      <c r="F139" s="12" t="s">
        <v>28</v>
      </c>
      <c r="G139" s="13">
        <v>11100.0</v>
      </c>
      <c r="H139" s="14">
        <v>2.19</v>
      </c>
      <c r="I139" s="15">
        <f t="shared" si="1"/>
        <v>24309</v>
      </c>
      <c r="J139" s="16" t="s">
        <v>17</v>
      </c>
      <c r="K139" s="14">
        <v>24309.0</v>
      </c>
      <c r="L139" s="17">
        <f t="shared" si="2"/>
        <v>0</v>
      </c>
    </row>
    <row r="140" ht="16.5" customHeight="1">
      <c r="A140" s="4">
        <v>46186.0</v>
      </c>
      <c r="B140" s="5" t="s">
        <v>12</v>
      </c>
      <c r="C140" s="5" t="s">
        <v>23</v>
      </c>
      <c r="D140" s="5" t="s">
        <v>20</v>
      </c>
      <c r="E140" s="5" t="s">
        <v>15</v>
      </c>
      <c r="F140" s="5" t="s">
        <v>21</v>
      </c>
      <c r="G140" s="6">
        <v>4900.0</v>
      </c>
      <c r="H140" s="7">
        <v>3.79</v>
      </c>
      <c r="I140" s="8">
        <f t="shared" si="1"/>
        <v>18571</v>
      </c>
      <c r="J140" s="9" t="s">
        <v>17</v>
      </c>
      <c r="K140" s="7">
        <v>18571.0</v>
      </c>
      <c r="L140" s="10">
        <f t="shared" si="2"/>
        <v>0</v>
      </c>
    </row>
    <row r="141" ht="16.5" customHeight="1">
      <c r="A141" s="11">
        <v>46186.0</v>
      </c>
      <c r="B141" s="12" t="s">
        <v>26</v>
      </c>
      <c r="C141" s="12" t="s">
        <v>13</v>
      </c>
      <c r="D141" s="12" t="s">
        <v>14</v>
      </c>
      <c r="E141" s="12" t="s">
        <v>15</v>
      </c>
      <c r="F141" s="12" t="s">
        <v>40</v>
      </c>
      <c r="G141" s="13">
        <v>5200.0</v>
      </c>
      <c r="H141" s="14">
        <v>2.29</v>
      </c>
      <c r="I141" s="15">
        <f t="shared" si="1"/>
        <v>11908</v>
      </c>
      <c r="J141" s="16" t="s">
        <v>17</v>
      </c>
      <c r="K141" s="14">
        <v>11908.0</v>
      </c>
      <c r="L141" s="17">
        <f t="shared" si="2"/>
        <v>0</v>
      </c>
    </row>
    <row r="142" ht="16.5" customHeight="1">
      <c r="A142" s="4">
        <v>46193.0</v>
      </c>
      <c r="B142" s="5" t="s">
        <v>12</v>
      </c>
      <c r="C142" s="5" t="s">
        <v>13</v>
      </c>
      <c r="D142" s="5" t="s">
        <v>14</v>
      </c>
      <c r="E142" s="5" t="s">
        <v>32</v>
      </c>
      <c r="F142" s="5" t="s">
        <v>58</v>
      </c>
      <c r="G142" s="6">
        <v>19500.0</v>
      </c>
      <c r="H142" s="7">
        <v>2.29</v>
      </c>
      <c r="I142" s="8">
        <f t="shared" si="1"/>
        <v>44655</v>
      </c>
      <c r="J142" s="9" t="s">
        <v>31</v>
      </c>
      <c r="K142" s="7">
        <v>34200.0</v>
      </c>
      <c r="L142" s="10">
        <f t="shared" si="2"/>
        <v>10455</v>
      </c>
    </row>
    <row r="143" ht="16.5" customHeight="1">
      <c r="A143" s="11">
        <v>46193.0</v>
      </c>
      <c r="B143" s="12" t="s">
        <v>18</v>
      </c>
      <c r="C143" s="12" t="s">
        <v>13</v>
      </c>
      <c r="D143" s="12" t="s">
        <v>14</v>
      </c>
      <c r="E143" s="12" t="s">
        <v>32</v>
      </c>
      <c r="F143" s="12" t="s">
        <v>58</v>
      </c>
      <c r="G143" s="13">
        <v>13100.0</v>
      </c>
      <c r="H143" s="14">
        <v>2.29</v>
      </c>
      <c r="I143" s="15">
        <f t="shared" si="1"/>
        <v>29999</v>
      </c>
      <c r="J143" s="16" t="s">
        <v>31</v>
      </c>
      <c r="K143" s="14">
        <v>23500.0</v>
      </c>
      <c r="L143" s="17">
        <f t="shared" si="2"/>
        <v>6499</v>
      </c>
    </row>
    <row r="144" ht="16.5" customHeight="1">
      <c r="A144" s="4">
        <v>46193.0</v>
      </c>
      <c r="B144" s="5" t="s">
        <v>22</v>
      </c>
      <c r="C144" s="5" t="s">
        <v>19</v>
      </c>
      <c r="D144" s="5" t="s">
        <v>20</v>
      </c>
      <c r="E144" s="5" t="s">
        <v>29</v>
      </c>
      <c r="F144" s="5" t="s">
        <v>34</v>
      </c>
      <c r="G144" s="6">
        <v>4100.0</v>
      </c>
      <c r="H144" s="7">
        <v>3.79</v>
      </c>
      <c r="I144" s="8">
        <f t="shared" si="1"/>
        <v>15539</v>
      </c>
      <c r="J144" s="9" t="s">
        <v>17</v>
      </c>
      <c r="K144" s="7">
        <v>15539.0</v>
      </c>
      <c r="L144" s="10">
        <f t="shared" si="2"/>
        <v>0</v>
      </c>
    </row>
    <row r="145" ht="16.5" customHeight="1">
      <c r="A145" s="11">
        <v>46193.0</v>
      </c>
      <c r="B145" s="12" t="s">
        <v>12</v>
      </c>
      <c r="C145" s="12" t="s">
        <v>35</v>
      </c>
      <c r="D145" s="12" t="s">
        <v>36</v>
      </c>
      <c r="E145" s="12" t="s">
        <v>29</v>
      </c>
      <c r="F145" s="12" t="s">
        <v>49</v>
      </c>
      <c r="G145" s="13">
        <v>3150.0</v>
      </c>
      <c r="H145" s="14">
        <v>1.89</v>
      </c>
      <c r="I145" s="15">
        <f t="shared" si="1"/>
        <v>5953.5</v>
      </c>
      <c r="J145" s="16" t="s">
        <v>17</v>
      </c>
      <c r="K145" s="14">
        <v>5953.5</v>
      </c>
      <c r="L145" s="17">
        <f t="shared" si="2"/>
        <v>0</v>
      </c>
    </row>
    <row r="146" ht="16.5" customHeight="1">
      <c r="A146" s="4">
        <v>46200.0</v>
      </c>
      <c r="B146" s="5" t="s">
        <v>12</v>
      </c>
      <c r="C146" s="5" t="s">
        <v>13</v>
      </c>
      <c r="D146" s="5" t="s">
        <v>14</v>
      </c>
      <c r="E146" s="5" t="s">
        <v>32</v>
      </c>
      <c r="F146" s="5" t="s">
        <v>58</v>
      </c>
      <c r="G146" s="6">
        <v>21200.0</v>
      </c>
      <c r="H146" s="7">
        <v>2.19</v>
      </c>
      <c r="I146" s="8">
        <f t="shared" si="1"/>
        <v>46428</v>
      </c>
      <c r="J146" s="9" t="s">
        <v>41</v>
      </c>
      <c r="K146" s="7">
        <v>36200.0</v>
      </c>
      <c r="L146" s="10">
        <f t="shared" si="2"/>
        <v>10228</v>
      </c>
    </row>
    <row r="147" ht="16.5" customHeight="1">
      <c r="A147" s="11">
        <v>46200.0</v>
      </c>
      <c r="B147" s="12" t="s">
        <v>18</v>
      </c>
      <c r="C147" s="12" t="s">
        <v>13</v>
      </c>
      <c r="D147" s="12" t="s">
        <v>14</v>
      </c>
      <c r="E147" s="12" t="s">
        <v>15</v>
      </c>
      <c r="F147" s="12" t="s">
        <v>40</v>
      </c>
      <c r="G147" s="13">
        <v>10400.0</v>
      </c>
      <c r="H147" s="14">
        <v>2.49</v>
      </c>
      <c r="I147" s="15">
        <f t="shared" si="1"/>
        <v>25896</v>
      </c>
      <c r="J147" s="16" t="s">
        <v>17</v>
      </c>
      <c r="K147" s="14">
        <v>25896.0</v>
      </c>
      <c r="L147" s="17">
        <f t="shared" si="2"/>
        <v>0</v>
      </c>
    </row>
    <row r="148" ht="16.5" customHeight="1">
      <c r="A148" s="4">
        <v>46200.0</v>
      </c>
      <c r="B148" s="5" t="s">
        <v>12</v>
      </c>
      <c r="C148" s="5" t="s">
        <v>19</v>
      </c>
      <c r="D148" s="5" t="s">
        <v>14</v>
      </c>
      <c r="E148" s="5" t="s">
        <v>15</v>
      </c>
      <c r="F148" s="5" t="s">
        <v>43</v>
      </c>
      <c r="G148" s="6">
        <v>6800.0</v>
      </c>
      <c r="H148" s="7">
        <v>2.49</v>
      </c>
      <c r="I148" s="8">
        <f t="shared" si="1"/>
        <v>16932</v>
      </c>
      <c r="J148" s="9" t="s">
        <v>17</v>
      </c>
      <c r="K148" s="7">
        <v>16932.0</v>
      </c>
      <c r="L148" s="10">
        <f t="shared" si="2"/>
        <v>0</v>
      </c>
    </row>
    <row r="149" ht="16.5" customHeight="1">
      <c r="A149" s="11">
        <v>46200.0</v>
      </c>
      <c r="B149" s="12" t="s">
        <v>26</v>
      </c>
      <c r="C149" s="12" t="s">
        <v>23</v>
      </c>
      <c r="D149" s="12" t="s">
        <v>24</v>
      </c>
      <c r="E149" s="12" t="s">
        <v>15</v>
      </c>
      <c r="F149" s="12" t="s">
        <v>25</v>
      </c>
      <c r="G149" s="13">
        <v>2350.0</v>
      </c>
      <c r="H149" s="14">
        <v>4.19</v>
      </c>
      <c r="I149" s="15">
        <f t="shared" si="1"/>
        <v>9846.5</v>
      </c>
      <c r="J149" s="16" t="s">
        <v>17</v>
      </c>
      <c r="K149" s="14">
        <v>9846.5</v>
      </c>
      <c r="L149" s="17">
        <f t="shared" si="2"/>
        <v>0</v>
      </c>
    </row>
    <row r="150" ht="16.5" customHeight="1">
      <c r="A150" s="4">
        <v>46207.0</v>
      </c>
      <c r="B150" s="5" t="s">
        <v>12</v>
      </c>
      <c r="C150" s="5" t="s">
        <v>13</v>
      </c>
      <c r="D150" s="5" t="s">
        <v>14</v>
      </c>
      <c r="E150" s="5" t="s">
        <v>32</v>
      </c>
      <c r="F150" s="5" t="s">
        <v>58</v>
      </c>
      <c r="G150" s="6">
        <v>22500.0</v>
      </c>
      <c r="H150" s="7">
        <v>2.19</v>
      </c>
      <c r="I150" s="8">
        <f t="shared" si="1"/>
        <v>49275</v>
      </c>
      <c r="J150" s="9" t="s">
        <v>41</v>
      </c>
      <c r="K150" s="7">
        <v>38500.0</v>
      </c>
      <c r="L150" s="10">
        <f t="shared" si="2"/>
        <v>10775</v>
      </c>
    </row>
    <row r="151" ht="16.5" customHeight="1">
      <c r="A151" s="11">
        <v>46207.0</v>
      </c>
      <c r="B151" s="12" t="s">
        <v>18</v>
      </c>
      <c r="C151" s="12" t="s">
        <v>13</v>
      </c>
      <c r="D151" s="12" t="s">
        <v>14</v>
      </c>
      <c r="E151" s="12" t="s">
        <v>32</v>
      </c>
      <c r="F151" s="12" t="s">
        <v>58</v>
      </c>
      <c r="G151" s="13">
        <v>14500.0</v>
      </c>
      <c r="H151" s="14">
        <v>2.19</v>
      </c>
      <c r="I151" s="15">
        <f t="shared" si="1"/>
        <v>31755</v>
      </c>
      <c r="J151" s="16" t="s">
        <v>41</v>
      </c>
      <c r="K151" s="14">
        <v>24800.0</v>
      </c>
      <c r="L151" s="17">
        <f t="shared" si="2"/>
        <v>6955</v>
      </c>
    </row>
    <row r="152" ht="16.5" customHeight="1">
      <c r="A152" s="4">
        <v>46207.0</v>
      </c>
      <c r="B152" s="5" t="s">
        <v>22</v>
      </c>
      <c r="C152" s="5" t="s">
        <v>13</v>
      </c>
      <c r="D152" s="5" t="s">
        <v>14</v>
      </c>
      <c r="E152" s="5" t="s">
        <v>29</v>
      </c>
      <c r="F152" s="5" t="s">
        <v>30</v>
      </c>
      <c r="G152" s="6">
        <v>9500.0</v>
      </c>
      <c r="H152" s="7">
        <v>2.49</v>
      </c>
      <c r="I152" s="8">
        <f t="shared" si="1"/>
        <v>23655</v>
      </c>
      <c r="J152" s="9" t="s">
        <v>17</v>
      </c>
      <c r="K152" s="7">
        <v>23655.0</v>
      </c>
      <c r="L152" s="10">
        <f t="shared" si="2"/>
        <v>0</v>
      </c>
    </row>
    <row r="153" ht="16.5" customHeight="1">
      <c r="A153" s="11">
        <v>46207.0</v>
      </c>
      <c r="B153" s="12" t="s">
        <v>12</v>
      </c>
      <c r="C153" s="12" t="s">
        <v>19</v>
      </c>
      <c r="D153" s="12" t="s">
        <v>20</v>
      </c>
      <c r="E153" s="12" t="s">
        <v>15</v>
      </c>
      <c r="F153" s="12" t="s">
        <v>39</v>
      </c>
      <c r="G153" s="13">
        <v>5400.0</v>
      </c>
      <c r="H153" s="14">
        <v>3.59</v>
      </c>
      <c r="I153" s="15">
        <f t="shared" si="1"/>
        <v>19386</v>
      </c>
      <c r="J153" s="16" t="s">
        <v>31</v>
      </c>
      <c r="K153" s="14">
        <v>15200.0</v>
      </c>
      <c r="L153" s="17">
        <f t="shared" si="2"/>
        <v>4186</v>
      </c>
    </row>
    <row r="154" ht="16.5" customHeight="1">
      <c r="A154" s="4">
        <v>46214.0</v>
      </c>
      <c r="B154" s="5" t="s">
        <v>12</v>
      </c>
      <c r="C154" s="5" t="s">
        <v>13</v>
      </c>
      <c r="D154" s="5" t="s">
        <v>14</v>
      </c>
      <c r="E154" s="5" t="s">
        <v>15</v>
      </c>
      <c r="F154" s="5" t="s">
        <v>16</v>
      </c>
      <c r="G154" s="6">
        <v>12700.0</v>
      </c>
      <c r="H154" s="7">
        <v>2.49</v>
      </c>
      <c r="I154" s="8">
        <f t="shared" si="1"/>
        <v>31623</v>
      </c>
      <c r="J154" s="9" t="s">
        <v>17</v>
      </c>
      <c r="K154" s="7">
        <v>31623.0</v>
      </c>
      <c r="L154" s="10">
        <f t="shared" si="2"/>
        <v>0</v>
      </c>
    </row>
    <row r="155" ht="16.5" customHeight="1">
      <c r="A155" s="11">
        <v>46214.0</v>
      </c>
      <c r="B155" s="12" t="s">
        <v>18</v>
      </c>
      <c r="C155" s="12" t="s">
        <v>19</v>
      </c>
      <c r="D155" s="12" t="s">
        <v>14</v>
      </c>
      <c r="E155" s="12" t="s">
        <v>15</v>
      </c>
      <c r="F155" s="12" t="s">
        <v>38</v>
      </c>
      <c r="G155" s="13">
        <v>6900.0</v>
      </c>
      <c r="H155" s="14">
        <v>2.49</v>
      </c>
      <c r="I155" s="15">
        <f t="shared" si="1"/>
        <v>17181</v>
      </c>
      <c r="J155" s="16" t="s">
        <v>17</v>
      </c>
      <c r="K155" s="14">
        <v>17181.0</v>
      </c>
      <c r="L155" s="17">
        <f t="shared" si="2"/>
        <v>0</v>
      </c>
    </row>
    <row r="156" ht="16.5" customHeight="1">
      <c r="A156" s="4">
        <v>46214.0</v>
      </c>
      <c r="B156" s="5" t="s">
        <v>22</v>
      </c>
      <c r="C156" s="5" t="s">
        <v>35</v>
      </c>
      <c r="D156" s="5" t="s">
        <v>20</v>
      </c>
      <c r="E156" s="5" t="s">
        <v>15</v>
      </c>
      <c r="F156" s="5" t="s">
        <v>21</v>
      </c>
      <c r="G156" s="6">
        <v>3500.0</v>
      </c>
      <c r="H156" s="7">
        <v>3.99</v>
      </c>
      <c r="I156" s="8">
        <f t="shared" si="1"/>
        <v>13965</v>
      </c>
      <c r="J156" s="9" t="s">
        <v>17</v>
      </c>
      <c r="K156" s="7">
        <v>13965.0</v>
      </c>
      <c r="L156" s="10">
        <f t="shared" si="2"/>
        <v>0</v>
      </c>
    </row>
    <row r="157" ht="16.5" customHeight="1">
      <c r="A157" s="11">
        <v>46214.0</v>
      </c>
      <c r="B157" s="12" t="s">
        <v>26</v>
      </c>
      <c r="C157" s="12" t="s">
        <v>13</v>
      </c>
      <c r="D157" s="12" t="s">
        <v>14</v>
      </c>
      <c r="E157" s="12" t="s">
        <v>27</v>
      </c>
      <c r="F157" s="12" t="s">
        <v>28</v>
      </c>
      <c r="G157" s="13">
        <v>7600.0</v>
      </c>
      <c r="H157" s="14">
        <v>1.89</v>
      </c>
      <c r="I157" s="15">
        <f t="shared" si="1"/>
        <v>14364</v>
      </c>
      <c r="J157" s="16" t="s">
        <v>17</v>
      </c>
      <c r="K157" s="14">
        <v>14364.0</v>
      </c>
      <c r="L157" s="17">
        <f t="shared" si="2"/>
        <v>0</v>
      </c>
    </row>
    <row r="158" ht="16.5" customHeight="1">
      <c r="A158" s="4">
        <v>46221.0</v>
      </c>
      <c r="B158" s="5" t="s">
        <v>12</v>
      </c>
      <c r="C158" s="5" t="s">
        <v>13</v>
      </c>
      <c r="D158" s="5" t="s">
        <v>14</v>
      </c>
      <c r="E158" s="5" t="s">
        <v>29</v>
      </c>
      <c r="F158" s="5" t="s">
        <v>30</v>
      </c>
      <c r="G158" s="6">
        <v>17100.0</v>
      </c>
      <c r="H158" s="7">
        <v>2.19</v>
      </c>
      <c r="I158" s="8">
        <f t="shared" si="1"/>
        <v>37449</v>
      </c>
      <c r="J158" s="9" t="s">
        <v>31</v>
      </c>
      <c r="K158" s="7">
        <v>29800.0</v>
      </c>
      <c r="L158" s="10">
        <f t="shared" si="2"/>
        <v>7649</v>
      </c>
    </row>
    <row r="159" ht="16.5" customHeight="1">
      <c r="A159" s="11">
        <v>46221.0</v>
      </c>
      <c r="B159" s="12" t="s">
        <v>18</v>
      </c>
      <c r="C159" s="12" t="s">
        <v>13</v>
      </c>
      <c r="D159" s="12" t="s">
        <v>14</v>
      </c>
      <c r="E159" s="12" t="s">
        <v>29</v>
      </c>
      <c r="F159" s="12" t="s">
        <v>46</v>
      </c>
      <c r="G159" s="13">
        <v>9800.0</v>
      </c>
      <c r="H159" s="14">
        <v>2.49</v>
      </c>
      <c r="I159" s="15">
        <f t="shared" si="1"/>
        <v>24402</v>
      </c>
      <c r="J159" s="16" t="s">
        <v>17</v>
      </c>
      <c r="K159" s="14">
        <v>24402.0</v>
      </c>
      <c r="L159" s="17">
        <f t="shared" si="2"/>
        <v>0</v>
      </c>
    </row>
    <row r="160" ht="16.5" customHeight="1">
      <c r="A160" s="4">
        <v>46221.0</v>
      </c>
      <c r="B160" s="5" t="s">
        <v>12</v>
      </c>
      <c r="C160" s="5" t="s">
        <v>23</v>
      </c>
      <c r="D160" s="5" t="s">
        <v>24</v>
      </c>
      <c r="E160" s="5" t="s">
        <v>15</v>
      </c>
      <c r="F160" s="5" t="s">
        <v>52</v>
      </c>
      <c r="G160" s="6">
        <v>4600.0</v>
      </c>
      <c r="H160" s="7">
        <v>3.99</v>
      </c>
      <c r="I160" s="8">
        <f t="shared" si="1"/>
        <v>18354</v>
      </c>
      <c r="J160" s="9" t="s">
        <v>17</v>
      </c>
      <c r="K160" s="7">
        <v>18354.0</v>
      </c>
      <c r="L160" s="10">
        <f t="shared" si="2"/>
        <v>0</v>
      </c>
    </row>
    <row r="161" ht="16.5" customHeight="1">
      <c r="A161" s="11">
        <v>46221.0</v>
      </c>
      <c r="B161" s="12" t="s">
        <v>22</v>
      </c>
      <c r="C161" s="12" t="s">
        <v>19</v>
      </c>
      <c r="D161" s="12" t="s">
        <v>36</v>
      </c>
      <c r="E161" s="12" t="s">
        <v>15</v>
      </c>
      <c r="F161" s="12" t="s">
        <v>42</v>
      </c>
      <c r="G161" s="13">
        <v>3200.0</v>
      </c>
      <c r="H161" s="14">
        <v>1.99</v>
      </c>
      <c r="I161" s="15">
        <f t="shared" si="1"/>
        <v>6368</v>
      </c>
      <c r="J161" s="16" t="s">
        <v>17</v>
      </c>
      <c r="K161" s="14">
        <v>6368.0</v>
      </c>
      <c r="L161" s="17">
        <f t="shared" si="2"/>
        <v>0</v>
      </c>
    </row>
    <row r="162" ht="16.5" customHeight="1">
      <c r="A162" s="4">
        <v>46228.0</v>
      </c>
      <c r="B162" s="5" t="s">
        <v>12</v>
      </c>
      <c r="C162" s="5" t="s">
        <v>13</v>
      </c>
      <c r="D162" s="5" t="s">
        <v>14</v>
      </c>
      <c r="E162" s="5" t="s">
        <v>15</v>
      </c>
      <c r="F162" s="5" t="s">
        <v>43</v>
      </c>
      <c r="G162" s="6">
        <v>13700.0</v>
      </c>
      <c r="H162" s="7">
        <v>2.49</v>
      </c>
      <c r="I162" s="8">
        <f t="shared" si="1"/>
        <v>34113</v>
      </c>
      <c r="J162" s="9" t="s">
        <v>17</v>
      </c>
      <c r="K162" s="7">
        <v>34113.0</v>
      </c>
      <c r="L162" s="10">
        <f t="shared" si="2"/>
        <v>0</v>
      </c>
    </row>
    <row r="163" ht="16.5" customHeight="1">
      <c r="A163" s="11">
        <v>46228.0</v>
      </c>
      <c r="B163" s="12" t="s">
        <v>18</v>
      </c>
      <c r="C163" s="12" t="s">
        <v>13</v>
      </c>
      <c r="D163" s="12" t="s">
        <v>20</v>
      </c>
      <c r="E163" s="12" t="s">
        <v>15</v>
      </c>
      <c r="F163" s="12" t="s">
        <v>45</v>
      </c>
      <c r="G163" s="13">
        <v>6500.0</v>
      </c>
      <c r="H163" s="14">
        <v>3.69</v>
      </c>
      <c r="I163" s="15">
        <f t="shared" si="1"/>
        <v>23985</v>
      </c>
      <c r="J163" s="16" t="s">
        <v>31</v>
      </c>
      <c r="K163" s="14">
        <v>18600.0</v>
      </c>
      <c r="L163" s="17">
        <f t="shared" si="2"/>
        <v>5385</v>
      </c>
    </row>
    <row r="164" ht="16.5" customHeight="1">
      <c r="A164" s="4">
        <v>46228.0</v>
      </c>
      <c r="B164" s="5" t="s">
        <v>12</v>
      </c>
      <c r="C164" s="5" t="s">
        <v>19</v>
      </c>
      <c r="D164" s="5" t="s">
        <v>20</v>
      </c>
      <c r="E164" s="5" t="s">
        <v>29</v>
      </c>
      <c r="F164" s="5" t="s">
        <v>34</v>
      </c>
      <c r="G164" s="6">
        <v>4300.0</v>
      </c>
      <c r="H164" s="7">
        <v>3.89</v>
      </c>
      <c r="I164" s="8">
        <f t="shared" si="1"/>
        <v>16727</v>
      </c>
      <c r="J164" s="9" t="s">
        <v>17</v>
      </c>
      <c r="K164" s="7">
        <v>16727.0</v>
      </c>
      <c r="L164" s="10">
        <f t="shared" si="2"/>
        <v>0</v>
      </c>
    </row>
    <row r="165" ht="16.5" customHeight="1">
      <c r="A165" s="11">
        <v>46228.0</v>
      </c>
      <c r="B165" s="12" t="s">
        <v>26</v>
      </c>
      <c r="C165" s="12" t="s">
        <v>35</v>
      </c>
      <c r="D165" s="12" t="s">
        <v>36</v>
      </c>
      <c r="E165" s="12" t="s">
        <v>27</v>
      </c>
      <c r="F165" s="12" t="s">
        <v>37</v>
      </c>
      <c r="G165" s="13">
        <v>2100.0</v>
      </c>
      <c r="H165" s="14">
        <v>1.69</v>
      </c>
      <c r="I165" s="15">
        <f t="shared" si="1"/>
        <v>3549</v>
      </c>
      <c r="J165" s="16" t="s">
        <v>17</v>
      </c>
      <c r="K165" s="14">
        <v>3549.0</v>
      </c>
      <c r="L165" s="17">
        <f t="shared" si="2"/>
        <v>0</v>
      </c>
    </row>
    <row r="166" ht="16.5" customHeight="1">
      <c r="A166" s="4">
        <v>46235.0</v>
      </c>
      <c r="B166" s="5" t="s">
        <v>12</v>
      </c>
      <c r="C166" s="5" t="s">
        <v>13</v>
      </c>
      <c r="D166" s="5" t="s">
        <v>14</v>
      </c>
      <c r="E166" s="5" t="s">
        <v>15</v>
      </c>
      <c r="F166" s="5" t="s">
        <v>40</v>
      </c>
      <c r="G166" s="6">
        <v>17300.0</v>
      </c>
      <c r="H166" s="7">
        <v>2.19</v>
      </c>
      <c r="I166" s="8">
        <f t="shared" si="1"/>
        <v>37887</v>
      </c>
      <c r="J166" s="9" t="s">
        <v>41</v>
      </c>
      <c r="K166" s="7">
        <v>28900.0</v>
      </c>
      <c r="L166" s="10">
        <f t="shared" si="2"/>
        <v>8987</v>
      </c>
    </row>
    <row r="167" ht="16.5" customHeight="1">
      <c r="A167" s="11">
        <v>46235.0</v>
      </c>
      <c r="B167" s="12" t="s">
        <v>18</v>
      </c>
      <c r="C167" s="12" t="s">
        <v>13</v>
      </c>
      <c r="D167" s="12" t="s">
        <v>14</v>
      </c>
      <c r="E167" s="12" t="s">
        <v>27</v>
      </c>
      <c r="F167" s="12" t="s">
        <v>28</v>
      </c>
      <c r="G167" s="13">
        <v>11500.0</v>
      </c>
      <c r="H167" s="14">
        <v>2.19</v>
      </c>
      <c r="I167" s="15">
        <f t="shared" si="1"/>
        <v>25185</v>
      </c>
      <c r="J167" s="16" t="s">
        <v>17</v>
      </c>
      <c r="K167" s="14">
        <v>25185.0</v>
      </c>
      <c r="L167" s="17">
        <f t="shared" si="2"/>
        <v>0</v>
      </c>
    </row>
    <row r="168" ht="16.5" customHeight="1">
      <c r="A168" s="4">
        <v>46235.0</v>
      </c>
      <c r="B168" s="5" t="s">
        <v>22</v>
      </c>
      <c r="C168" s="5" t="s">
        <v>23</v>
      </c>
      <c r="D168" s="5" t="s">
        <v>24</v>
      </c>
      <c r="E168" s="5" t="s">
        <v>15</v>
      </c>
      <c r="F168" s="5" t="s">
        <v>47</v>
      </c>
      <c r="G168" s="6">
        <v>3300.0</v>
      </c>
      <c r="H168" s="7">
        <v>4.29</v>
      </c>
      <c r="I168" s="8">
        <f t="shared" si="1"/>
        <v>14157</v>
      </c>
      <c r="J168" s="9" t="s">
        <v>17</v>
      </c>
      <c r="K168" s="7">
        <v>14157.0</v>
      </c>
      <c r="L168" s="10">
        <f t="shared" si="2"/>
        <v>0</v>
      </c>
    </row>
    <row r="169" ht="16.5" customHeight="1">
      <c r="A169" s="11">
        <v>46235.0</v>
      </c>
      <c r="B169" s="12" t="s">
        <v>12</v>
      </c>
      <c r="C169" s="12" t="s">
        <v>19</v>
      </c>
      <c r="D169" s="12" t="s">
        <v>14</v>
      </c>
      <c r="E169" s="12" t="s">
        <v>15</v>
      </c>
      <c r="F169" s="12" t="s">
        <v>16</v>
      </c>
      <c r="G169" s="13">
        <v>7100.0</v>
      </c>
      <c r="H169" s="14">
        <v>2.49</v>
      </c>
      <c r="I169" s="15">
        <f t="shared" si="1"/>
        <v>17679</v>
      </c>
      <c r="J169" s="16" t="s">
        <v>17</v>
      </c>
      <c r="K169" s="14">
        <v>17679.0</v>
      </c>
      <c r="L169" s="17">
        <f t="shared" si="2"/>
        <v>0</v>
      </c>
    </row>
    <row r="170" ht="16.5" customHeight="1">
      <c r="A170" s="4">
        <v>46242.0</v>
      </c>
      <c r="B170" s="5" t="s">
        <v>12</v>
      </c>
      <c r="C170" s="5" t="s">
        <v>13</v>
      </c>
      <c r="D170" s="5" t="s">
        <v>14</v>
      </c>
      <c r="E170" s="5" t="s">
        <v>15</v>
      </c>
      <c r="F170" s="5" t="s">
        <v>38</v>
      </c>
      <c r="G170" s="6">
        <v>13900.0</v>
      </c>
      <c r="H170" s="7">
        <v>2.49</v>
      </c>
      <c r="I170" s="8">
        <f t="shared" si="1"/>
        <v>34611</v>
      </c>
      <c r="J170" s="9" t="s">
        <v>17</v>
      </c>
      <c r="K170" s="7">
        <v>34611.0</v>
      </c>
      <c r="L170" s="10">
        <f t="shared" si="2"/>
        <v>0</v>
      </c>
    </row>
    <row r="171" ht="16.5" customHeight="1">
      <c r="A171" s="11">
        <v>46242.0</v>
      </c>
      <c r="B171" s="12" t="s">
        <v>18</v>
      </c>
      <c r="C171" s="12" t="s">
        <v>19</v>
      </c>
      <c r="D171" s="12" t="s">
        <v>20</v>
      </c>
      <c r="E171" s="12" t="s">
        <v>15</v>
      </c>
      <c r="F171" s="12" t="s">
        <v>21</v>
      </c>
      <c r="G171" s="13">
        <v>5300.0</v>
      </c>
      <c r="H171" s="14">
        <v>3.69</v>
      </c>
      <c r="I171" s="15">
        <f t="shared" si="1"/>
        <v>19557</v>
      </c>
      <c r="J171" s="16" t="s">
        <v>31</v>
      </c>
      <c r="K171" s="14">
        <v>15400.0</v>
      </c>
      <c r="L171" s="17">
        <f t="shared" si="2"/>
        <v>4157</v>
      </c>
    </row>
    <row r="172" ht="16.5" customHeight="1">
      <c r="A172" s="4">
        <v>46242.0</v>
      </c>
      <c r="B172" s="5" t="s">
        <v>22</v>
      </c>
      <c r="C172" s="5" t="s">
        <v>13</v>
      </c>
      <c r="D172" s="5" t="s">
        <v>14</v>
      </c>
      <c r="E172" s="5" t="s">
        <v>29</v>
      </c>
      <c r="F172" s="5" t="s">
        <v>30</v>
      </c>
      <c r="G172" s="6">
        <v>9700.0</v>
      </c>
      <c r="H172" s="7">
        <v>2.49</v>
      </c>
      <c r="I172" s="8">
        <f t="shared" si="1"/>
        <v>24153</v>
      </c>
      <c r="J172" s="9" t="s">
        <v>17</v>
      </c>
      <c r="K172" s="7">
        <v>24153.0</v>
      </c>
      <c r="L172" s="10">
        <f t="shared" si="2"/>
        <v>0</v>
      </c>
    </row>
    <row r="173" ht="16.5" customHeight="1">
      <c r="A173" s="11">
        <v>46242.0</v>
      </c>
      <c r="B173" s="12" t="s">
        <v>26</v>
      </c>
      <c r="C173" s="12" t="s">
        <v>13</v>
      </c>
      <c r="D173" s="12" t="s">
        <v>14</v>
      </c>
      <c r="E173" s="12" t="s">
        <v>15</v>
      </c>
      <c r="F173" s="12" t="s">
        <v>43</v>
      </c>
      <c r="G173" s="13">
        <v>5400.0</v>
      </c>
      <c r="H173" s="14">
        <v>2.29</v>
      </c>
      <c r="I173" s="15">
        <f t="shared" si="1"/>
        <v>12366</v>
      </c>
      <c r="J173" s="16" t="s">
        <v>17</v>
      </c>
      <c r="K173" s="14">
        <v>12366.0</v>
      </c>
      <c r="L173" s="17">
        <f t="shared" si="2"/>
        <v>0</v>
      </c>
    </row>
    <row r="174" ht="16.5" customHeight="1">
      <c r="A174" s="4">
        <v>46249.0</v>
      </c>
      <c r="B174" s="5" t="s">
        <v>12</v>
      </c>
      <c r="C174" s="5" t="s">
        <v>13</v>
      </c>
      <c r="D174" s="5" t="s">
        <v>14</v>
      </c>
      <c r="E174" s="5" t="s">
        <v>29</v>
      </c>
      <c r="F174" s="5" t="s">
        <v>30</v>
      </c>
      <c r="G174" s="6">
        <v>17800.0</v>
      </c>
      <c r="H174" s="7">
        <v>2.19</v>
      </c>
      <c r="I174" s="8">
        <f t="shared" si="1"/>
        <v>38982</v>
      </c>
      <c r="J174" s="9" t="s">
        <v>41</v>
      </c>
      <c r="K174" s="7">
        <v>30500.0</v>
      </c>
      <c r="L174" s="10">
        <f t="shared" si="2"/>
        <v>8482</v>
      </c>
    </row>
    <row r="175" ht="16.5" customHeight="1">
      <c r="A175" s="11">
        <v>46249.0</v>
      </c>
      <c r="B175" s="12" t="s">
        <v>18</v>
      </c>
      <c r="C175" s="12" t="s">
        <v>13</v>
      </c>
      <c r="D175" s="12" t="s">
        <v>14</v>
      </c>
      <c r="E175" s="12" t="s">
        <v>15</v>
      </c>
      <c r="F175" s="12" t="s">
        <v>16</v>
      </c>
      <c r="G175" s="13">
        <v>10200.0</v>
      </c>
      <c r="H175" s="14">
        <v>2.49</v>
      </c>
      <c r="I175" s="15">
        <f t="shared" si="1"/>
        <v>25398</v>
      </c>
      <c r="J175" s="16" t="s">
        <v>17</v>
      </c>
      <c r="K175" s="14">
        <v>25398.0</v>
      </c>
      <c r="L175" s="17">
        <f t="shared" si="2"/>
        <v>0</v>
      </c>
    </row>
    <row r="176" ht="16.5" customHeight="1">
      <c r="A176" s="4">
        <v>46249.0</v>
      </c>
      <c r="B176" s="5" t="s">
        <v>12</v>
      </c>
      <c r="C176" s="5" t="s">
        <v>35</v>
      </c>
      <c r="D176" s="5" t="s">
        <v>20</v>
      </c>
      <c r="E176" s="5" t="s">
        <v>15</v>
      </c>
      <c r="F176" s="5" t="s">
        <v>39</v>
      </c>
      <c r="G176" s="6">
        <v>3700.0</v>
      </c>
      <c r="H176" s="7">
        <v>3.89</v>
      </c>
      <c r="I176" s="8">
        <f t="shared" si="1"/>
        <v>14393</v>
      </c>
      <c r="J176" s="9" t="s">
        <v>17</v>
      </c>
      <c r="K176" s="7">
        <v>14393.0</v>
      </c>
      <c r="L176" s="10">
        <f t="shared" si="2"/>
        <v>0</v>
      </c>
    </row>
    <row r="177" ht="16.5" customHeight="1">
      <c r="A177" s="11">
        <v>46249.0</v>
      </c>
      <c r="B177" s="12" t="s">
        <v>22</v>
      </c>
      <c r="C177" s="12" t="s">
        <v>19</v>
      </c>
      <c r="D177" s="12" t="s">
        <v>36</v>
      </c>
      <c r="E177" s="12" t="s">
        <v>29</v>
      </c>
      <c r="F177" s="12" t="s">
        <v>49</v>
      </c>
      <c r="G177" s="13">
        <v>3400.0</v>
      </c>
      <c r="H177" s="14">
        <v>1.89</v>
      </c>
      <c r="I177" s="15">
        <f t="shared" si="1"/>
        <v>6426</v>
      </c>
      <c r="J177" s="16" t="s">
        <v>17</v>
      </c>
      <c r="K177" s="14">
        <v>6426.0</v>
      </c>
      <c r="L177" s="17">
        <f t="shared" si="2"/>
        <v>0</v>
      </c>
    </row>
    <row r="178" ht="16.5" customHeight="1">
      <c r="A178" s="4">
        <v>46256.0</v>
      </c>
      <c r="B178" s="5" t="s">
        <v>12</v>
      </c>
      <c r="C178" s="5" t="s">
        <v>13</v>
      </c>
      <c r="D178" s="5" t="s">
        <v>14</v>
      </c>
      <c r="E178" s="5" t="s">
        <v>15</v>
      </c>
      <c r="F178" s="5" t="s">
        <v>16</v>
      </c>
      <c r="G178" s="6">
        <v>18500.0</v>
      </c>
      <c r="H178" s="7">
        <v>2.19</v>
      </c>
      <c r="I178" s="8">
        <f t="shared" si="1"/>
        <v>40515</v>
      </c>
      <c r="J178" s="9" t="s">
        <v>41</v>
      </c>
      <c r="K178" s="7">
        <v>31800.0</v>
      </c>
      <c r="L178" s="10">
        <f t="shared" si="2"/>
        <v>8715</v>
      </c>
    </row>
    <row r="179" ht="16.5" customHeight="1">
      <c r="A179" s="11">
        <v>46256.0</v>
      </c>
      <c r="B179" s="12" t="s">
        <v>18</v>
      </c>
      <c r="C179" s="12" t="s">
        <v>13</v>
      </c>
      <c r="D179" s="12" t="s">
        <v>14</v>
      </c>
      <c r="E179" s="12" t="s">
        <v>15</v>
      </c>
      <c r="F179" s="12" t="s">
        <v>40</v>
      </c>
      <c r="G179" s="13">
        <v>10600.0</v>
      </c>
      <c r="H179" s="14">
        <v>2.49</v>
      </c>
      <c r="I179" s="15">
        <f t="shared" si="1"/>
        <v>26394</v>
      </c>
      <c r="J179" s="16" t="s">
        <v>17</v>
      </c>
      <c r="K179" s="14">
        <v>26394.0</v>
      </c>
      <c r="L179" s="17">
        <f t="shared" si="2"/>
        <v>0</v>
      </c>
    </row>
    <row r="180" ht="16.5" customHeight="1">
      <c r="A180" s="4">
        <v>46256.0</v>
      </c>
      <c r="B180" s="5" t="s">
        <v>12</v>
      </c>
      <c r="C180" s="5" t="s">
        <v>23</v>
      </c>
      <c r="D180" s="5" t="s">
        <v>24</v>
      </c>
      <c r="E180" s="5" t="s">
        <v>15</v>
      </c>
      <c r="F180" s="5" t="s">
        <v>44</v>
      </c>
      <c r="G180" s="6">
        <v>4700.0</v>
      </c>
      <c r="H180" s="7">
        <v>3.99</v>
      </c>
      <c r="I180" s="8">
        <f t="shared" si="1"/>
        <v>18753</v>
      </c>
      <c r="J180" s="9" t="s">
        <v>17</v>
      </c>
      <c r="K180" s="7">
        <v>18753.0</v>
      </c>
      <c r="L180" s="10">
        <f t="shared" si="2"/>
        <v>0</v>
      </c>
    </row>
    <row r="181" ht="16.5" customHeight="1">
      <c r="A181" s="11">
        <v>46256.0</v>
      </c>
      <c r="B181" s="12" t="s">
        <v>26</v>
      </c>
      <c r="C181" s="12" t="s">
        <v>19</v>
      </c>
      <c r="D181" s="12" t="s">
        <v>20</v>
      </c>
      <c r="E181" s="12" t="s">
        <v>15</v>
      </c>
      <c r="F181" s="12" t="s">
        <v>51</v>
      </c>
      <c r="G181" s="13">
        <v>3100.0</v>
      </c>
      <c r="H181" s="14">
        <v>2.99</v>
      </c>
      <c r="I181" s="15">
        <f t="shared" si="1"/>
        <v>9269</v>
      </c>
      <c r="J181" s="16" t="s">
        <v>17</v>
      </c>
      <c r="K181" s="14">
        <v>9269.0</v>
      </c>
      <c r="L181" s="17">
        <f t="shared" si="2"/>
        <v>0</v>
      </c>
    </row>
    <row r="182" ht="16.5" customHeight="1">
      <c r="A182" s="4">
        <v>46263.0</v>
      </c>
      <c r="B182" s="5" t="s">
        <v>12</v>
      </c>
      <c r="C182" s="5" t="s">
        <v>13</v>
      </c>
      <c r="D182" s="5" t="s">
        <v>14</v>
      </c>
      <c r="E182" s="5" t="s">
        <v>15</v>
      </c>
      <c r="F182" s="5" t="s">
        <v>43</v>
      </c>
      <c r="G182" s="6">
        <v>14100.0</v>
      </c>
      <c r="H182" s="7">
        <v>2.49</v>
      </c>
      <c r="I182" s="8">
        <f t="shared" si="1"/>
        <v>35109</v>
      </c>
      <c r="J182" s="9" t="s">
        <v>17</v>
      </c>
      <c r="K182" s="7">
        <v>35109.0</v>
      </c>
      <c r="L182" s="10">
        <f t="shared" si="2"/>
        <v>0</v>
      </c>
    </row>
    <row r="183" ht="16.5" customHeight="1">
      <c r="A183" s="11">
        <v>46263.0</v>
      </c>
      <c r="B183" s="12" t="s">
        <v>18</v>
      </c>
      <c r="C183" s="12" t="s">
        <v>19</v>
      </c>
      <c r="D183" s="12" t="s">
        <v>14</v>
      </c>
      <c r="E183" s="12" t="s">
        <v>29</v>
      </c>
      <c r="F183" s="12" t="s">
        <v>30</v>
      </c>
      <c r="G183" s="13">
        <v>7700.0</v>
      </c>
      <c r="H183" s="14">
        <v>2.39</v>
      </c>
      <c r="I183" s="15">
        <f t="shared" si="1"/>
        <v>18403</v>
      </c>
      <c r="J183" s="16" t="s">
        <v>17</v>
      </c>
      <c r="K183" s="14">
        <v>18403.0</v>
      </c>
      <c r="L183" s="17">
        <f t="shared" si="2"/>
        <v>0</v>
      </c>
    </row>
    <row r="184" ht="16.5" customHeight="1">
      <c r="A184" s="4">
        <v>46263.0</v>
      </c>
      <c r="B184" s="5" t="s">
        <v>22</v>
      </c>
      <c r="C184" s="5" t="s">
        <v>13</v>
      </c>
      <c r="D184" s="5" t="s">
        <v>14</v>
      </c>
      <c r="E184" s="5" t="s">
        <v>15</v>
      </c>
      <c r="F184" s="5" t="s">
        <v>38</v>
      </c>
      <c r="G184" s="6">
        <v>9900.0</v>
      </c>
      <c r="H184" s="7">
        <v>2.49</v>
      </c>
      <c r="I184" s="8">
        <f t="shared" si="1"/>
        <v>24651</v>
      </c>
      <c r="J184" s="9" t="s">
        <v>17</v>
      </c>
      <c r="K184" s="7">
        <v>24651.0</v>
      </c>
      <c r="L184" s="10">
        <f t="shared" si="2"/>
        <v>0</v>
      </c>
    </row>
    <row r="185" ht="16.5" customHeight="1">
      <c r="A185" s="11">
        <v>46263.0</v>
      </c>
      <c r="B185" s="12" t="s">
        <v>12</v>
      </c>
      <c r="C185" s="12" t="s">
        <v>35</v>
      </c>
      <c r="D185" s="12" t="s">
        <v>24</v>
      </c>
      <c r="E185" s="12" t="s">
        <v>15</v>
      </c>
      <c r="F185" s="12" t="s">
        <v>25</v>
      </c>
      <c r="G185" s="13">
        <v>2800.0</v>
      </c>
      <c r="H185" s="14">
        <v>4.19</v>
      </c>
      <c r="I185" s="15">
        <f t="shared" si="1"/>
        <v>11732</v>
      </c>
      <c r="J185" s="16" t="s">
        <v>17</v>
      </c>
      <c r="K185" s="14">
        <v>11732.0</v>
      </c>
      <c r="L185" s="17">
        <f t="shared" si="2"/>
        <v>0</v>
      </c>
    </row>
    <row r="186" ht="16.5" customHeight="1">
      <c r="A186" s="4">
        <v>46270.0</v>
      </c>
      <c r="B186" s="5" t="s">
        <v>12</v>
      </c>
      <c r="C186" s="5" t="s">
        <v>13</v>
      </c>
      <c r="D186" s="5" t="s">
        <v>14</v>
      </c>
      <c r="E186" s="5" t="s">
        <v>29</v>
      </c>
      <c r="F186" s="5" t="s">
        <v>30</v>
      </c>
      <c r="G186" s="6">
        <v>18100.0</v>
      </c>
      <c r="H186" s="7">
        <v>2.19</v>
      </c>
      <c r="I186" s="8">
        <f t="shared" si="1"/>
        <v>39639</v>
      </c>
      <c r="J186" s="9" t="s">
        <v>31</v>
      </c>
      <c r="K186" s="7">
        <v>31200.0</v>
      </c>
      <c r="L186" s="10">
        <f t="shared" si="2"/>
        <v>8439</v>
      </c>
    </row>
    <row r="187" ht="16.5" customHeight="1">
      <c r="A187" s="11">
        <v>46270.0</v>
      </c>
      <c r="B187" s="12" t="s">
        <v>18</v>
      </c>
      <c r="C187" s="12" t="s">
        <v>13</v>
      </c>
      <c r="D187" s="12" t="s">
        <v>14</v>
      </c>
      <c r="E187" s="12" t="s">
        <v>27</v>
      </c>
      <c r="F187" s="12" t="s">
        <v>28</v>
      </c>
      <c r="G187" s="13">
        <v>11800.0</v>
      </c>
      <c r="H187" s="14">
        <v>2.19</v>
      </c>
      <c r="I187" s="15">
        <f t="shared" si="1"/>
        <v>25842</v>
      </c>
      <c r="J187" s="16" t="s">
        <v>17</v>
      </c>
      <c r="K187" s="14">
        <v>25842.0</v>
      </c>
      <c r="L187" s="17">
        <f t="shared" si="2"/>
        <v>0</v>
      </c>
    </row>
    <row r="188" ht="16.5" customHeight="1">
      <c r="A188" s="4">
        <v>46270.0</v>
      </c>
      <c r="B188" s="5" t="s">
        <v>12</v>
      </c>
      <c r="C188" s="5" t="s">
        <v>19</v>
      </c>
      <c r="D188" s="5" t="s">
        <v>20</v>
      </c>
      <c r="E188" s="5" t="s">
        <v>15</v>
      </c>
      <c r="F188" s="5" t="s">
        <v>21</v>
      </c>
      <c r="G188" s="6">
        <v>5500.0</v>
      </c>
      <c r="H188" s="7">
        <v>3.69</v>
      </c>
      <c r="I188" s="8">
        <f t="shared" si="1"/>
        <v>20295</v>
      </c>
      <c r="J188" s="9" t="s">
        <v>31</v>
      </c>
      <c r="K188" s="7">
        <v>16100.0</v>
      </c>
      <c r="L188" s="10">
        <f t="shared" si="2"/>
        <v>4195</v>
      </c>
    </row>
    <row r="189" ht="16.5" customHeight="1">
      <c r="A189" s="11">
        <v>46270.0</v>
      </c>
      <c r="B189" s="12" t="s">
        <v>26</v>
      </c>
      <c r="C189" s="12" t="s">
        <v>13</v>
      </c>
      <c r="D189" s="12" t="s">
        <v>14</v>
      </c>
      <c r="E189" s="12" t="s">
        <v>32</v>
      </c>
      <c r="F189" s="12" t="s">
        <v>33</v>
      </c>
      <c r="G189" s="13">
        <v>5900.0</v>
      </c>
      <c r="H189" s="14">
        <v>2.29</v>
      </c>
      <c r="I189" s="15">
        <f t="shared" si="1"/>
        <v>13511</v>
      </c>
      <c r="J189" s="16" t="s">
        <v>17</v>
      </c>
      <c r="K189" s="14">
        <v>13511.0</v>
      </c>
      <c r="L189" s="17">
        <f t="shared" si="2"/>
        <v>0</v>
      </c>
    </row>
    <row r="190" ht="16.5" customHeight="1">
      <c r="A190" s="4">
        <v>46277.0</v>
      </c>
      <c r="B190" s="5" t="s">
        <v>12</v>
      </c>
      <c r="C190" s="5" t="s">
        <v>13</v>
      </c>
      <c r="D190" s="5" t="s">
        <v>14</v>
      </c>
      <c r="E190" s="5" t="s">
        <v>32</v>
      </c>
      <c r="F190" s="5" t="s">
        <v>33</v>
      </c>
      <c r="G190" s="6">
        <v>18900.0</v>
      </c>
      <c r="H190" s="7">
        <v>2.49</v>
      </c>
      <c r="I190" s="8">
        <f t="shared" si="1"/>
        <v>47061</v>
      </c>
      <c r="J190" s="9" t="s">
        <v>31</v>
      </c>
      <c r="K190" s="7">
        <v>35400.0</v>
      </c>
      <c r="L190" s="10">
        <f t="shared" si="2"/>
        <v>11661</v>
      </c>
    </row>
    <row r="191" ht="16.5" customHeight="1">
      <c r="A191" s="11">
        <v>46277.0</v>
      </c>
      <c r="B191" s="12" t="s">
        <v>18</v>
      </c>
      <c r="C191" s="12" t="s">
        <v>13</v>
      </c>
      <c r="D191" s="12" t="s">
        <v>14</v>
      </c>
      <c r="E191" s="12" t="s">
        <v>32</v>
      </c>
      <c r="F191" s="12" t="s">
        <v>33</v>
      </c>
      <c r="G191" s="13">
        <v>12800.0</v>
      </c>
      <c r="H191" s="14">
        <v>2.49</v>
      </c>
      <c r="I191" s="15">
        <f t="shared" si="1"/>
        <v>31872</v>
      </c>
      <c r="J191" s="16" t="s">
        <v>17</v>
      </c>
      <c r="K191" s="14">
        <v>31872.0</v>
      </c>
      <c r="L191" s="17">
        <f t="shared" si="2"/>
        <v>0</v>
      </c>
    </row>
    <row r="192" ht="16.5" customHeight="1">
      <c r="A192" s="4">
        <v>46277.0</v>
      </c>
      <c r="B192" s="5" t="s">
        <v>22</v>
      </c>
      <c r="C192" s="5" t="s">
        <v>19</v>
      </c>
      <c r="D192" s="5" t="s">
        <v>20</v>
      </c>
      <c r="E192" s="5" t="s">
        <v>29</v>
      </c>
      <c r="F192" s="5" t="s">
        <v>34</v>
      </c>
      <c r="G192" s="6">
        <v>4400.0</v>
      </c>
      <c r="H192" s="7">
        <v>3.79</v>
      </c>
      <c r="I192" s="8">
        <f t="shared" si="1"/>
        <v>16676</v>
      </c>
      <c r="J192" s="9" t="s">
        <v>17</v>
      </c>
      <c r="K192" s="7">
        <v>16676.0</v>
      </c>
      <c r="L192" s="10">
        <f t="shared" si="2"/>
        <v>0</v>
      </c>
    </row>
    <row r="193" ht="16.5" customHeight="1">
      <c r="A193" s="11">
        <v>46277.0</v>
      </c>
      <c r="B193" s="12" t="s">
        <v>12</v>
      </c>
      <c r="C193" s="12" t="s">
        <v>23</v>
      </c>
      <c r="D193" s="12" t="s">
        <v>24</v>
      </c>
      <c r="E193" s="12" t="s">
        <v>15</v>
      </c>
      <c r="F193" s="12" t="s">
        <v>52</v>
      </c>
      <c r="G193" s="13">
        <v>4800.0</v>
      </c>
      <c r="H193" s="14">
        <v>3.99</v>
      </c>
      <c r="I193" s="15">
        <f t="shared" si="1"/>
        <v>19152</v>
      </c>
      <c r="J193" s="16" t="s">
        <v>17</v>
      </c>
      <c r="K193" s="14">
        <v>19152.0</v>
      </c>
      <c r="L193" s="17">
        <f t="shared" si="2"/>
        <v>0</v>
      </c>
    </row>
    <row r="194" ht="16.5" customHeight="1">
      <c r="A194" s="4">
        <v>46284.0</v>
      </c>
      <c r="B194" s="5" t="s">
        <v>12</v>
      </c>
      <c r="C194" s="5" t="s">
        <v>13</v>
      </c>
      <c r="D194" s="5" t="s">
        <v>14</v>
      </c>
      <c r="E194" s="5" t="s">
        <v>32</v>
      </c>
      <c r="F194" s="5" t="s">
        <v>33</v>
      </c>
      <c r="G194" s="6">
        <v>20200.0</v>
      </c>
      <c r="H194" s="7">
        <v>2.29</v>
      </c>
      <c r="I194" s="8">
        <f t="shared" si="1"/>
        <v>46258</v>
      </c>
      <c r="J194" s="9" t="s">
        <v>41</v>
      </c>
      <c r="K194" s="7">
        <v>36500.0</v>
      </c>
      <c r="L194" s="10">
        <f t="shared" si="2"/>
        <v>9758</v>
      </c>
    </row>
    <row r="195" ht="16.5" customHeight="1">
      <c r="A195" s="11">
        <v>46284.0</v>
      </c>
      <c r="B195" s="12" t="s">
        <v>18</v>
      </c>
      <c r="C195" s="12" t="s">
        <v>13</v>
      </c>
      <c r="D195" s="12" t="s">
        <v>14</v>
      </c>
      <c r="E195" s="12" t="s">
        <v>15</v>
      </c>
      <c r="F195" s="12" t="s">
        <v>16</v>
      </c>
      <c r="G195" s="13">
        <v>10500.0</v>
      </c>
      <c r="H195" s="14">
        <v>2.49</v>
      </c>
      <c r="I195" s="15">
        <f t="shared" si="1"/>
        <v>26145</v>
      </c>
      <c r="J195" s="16" t="s">
        <v>17</v>
      </c>
      <c r="K195" s="14">
        <v>26145.0</v>
      </c>
      <c r="L195" s="17">
        <f t="shared" si="2"/>
        <v>0</v>
      </c>
    </row>
    <row r="196" ht="16.5" customHeight="1">
      <c r="A196" s="4">
        <v>46284.0</v>
      </c>
      <c r="B196" s="5" t="s">
        <v>12</v>
      </c>
      <c r="C196" s="5" t="s">
        <v>35</v>
      </c>
      <c r="D196" s="5" t="s">
        <v>36</v>
      </c>
      <c r="E196" s="5" t="s">
        <v>15</v>
      </c>
      <c r="F196" s="5" t="s">
        <v>53</v>
      </c>
      <c r="G196" s="6">
        <v>3600.0</v>
      </c>
      <c r="H196" s="7">
        <v>1.99</v>
      </c>
      <c r="I196" s="8">
        <f t="shared" si="1"/>
        <v>7164</v>
      </c>
      <c r="J196" s="9" t="s">
        <v>17</v>
      </c>
      <c r="K196" s="7">
        <v>7164.0</v>
      </c>
      <c r="L196" s="10">
        <f t="shared" si="2"/>
        <v>0</v>
      </c>
    </row>
    <row r="197" ht="16.5" customHeight="1">
      <c r="A197" s="11">
        <v>46284.0</v>
      </c>
      <c r="B197" s="12" t="s">
        <v>26</v>
      </c>
      <c r="C197" s="12" t="s">
        <v>13</v>
      </c>
      <c r="D197" s="12" t="s">
        <v>14</v>
      </c>
      <c r="E197" s="12" t="s">
        <v>27</v>
      </c>
      <c r="F197" s="12" t="s">
        <v>28</v>
      </c>
      <c r="G197" s="13">
        <v>7800.0</v>
      </c>
      <c r="H197" s="14">
        <v>1.89</v>
      </c>
      <c r="I197" s="15">
        <f t="shared" si="1"/>
        <v>14742</v>
      </c>
      <c r="J197" s="16" t="s">
        <v>17</v>
      </c>
      <c r="K197" s="14">
        <v>14742.0</v>
      </c>
      <c r="L197" s="17">
        <f t="shared" si="2"/>
        <v>0</v>
      </c>
    </row>
    <row r="198" ht="16.5" customHeight="1">
      <c r="A198" s="4">
        <v>46291.0</v>
      </c>
      <c r="B198" s="5" t="s">
        <v>12</v>
      </c>
      <c r="C198" s="5" t="s">
        <v>13</v>
      </c>
      <c r="D198" s="5" t="s">
        <v>14</v>
      </c>
      <c r="E198" s="5" t="s">
        <v>32</v>
      </c>
      <c r="F198" s="5" t="s">
        <v>33</v>
      </c>
      <c r="G198" s="6">
        <v>21500.0</v>
      </c>
      <c r="H198" s="7">
        <v>2.29</v>
      </c>
      <c r="I198" s="8">
        <f t="shared" si="1"/>
        <v>49235</v>
      </c>
      <c r="J198" s="9" t="s">
        <v>41</v>
      </c>
      <c r="K198" s="7">
        <v>38900.0</v>
      </c>
      <c r="L198" s="10">
        <f t="shared" si="2"/>
        <v>10335</v>
      </c>
    </row>
    <row r="199" ht="16.5" customHeight="1">
      <c r="A199" s="11">
        <v>46291.0</v>
      </c>
      <c r="B199" s="12" t="s">
        <v>18</v>
      </c>
      <c r="C199" s="12" t="s">
        <v>19</v>
      </c>
      <c r="D199" s="12" t="s">
        <v>14</v>
      </c>
      <c r="E199" s="12" t="s">
        <v>15</v>
      </c>
      <c r="F199" s="12" t="s">
        <v>40</v>
      </c>
      <c r="G199" s="13">
        <v>7300.0</v>
      </c>
      <c r="H199" s="14">
        <v>2.49</v>
      </c>
      <c r="I199" s="15">
        <f t="shared" si="1"/>
        <v>18177</v>
      </c>
      <c r="J199" s="16" t="s">
        <v>17</v>
      </c>
      <c r="K199" s="14">
        <v>18177.0</v>
      </c>
      <c r="L199" s="17">
        <f t="shared" si="2"/>
        <v>0</v>
      </c>
    </row>
    <row r="200" ht="16.5" customHeight="1">
      <c r="A200" s="4">
        <v>46291.0</v>
      </c>
      <c r="B200" s="5" t="s">
        <v>22</v>
      </c>
      <c r="C200" s="5" t="s">
        <v>13</v>
      </c>
      <c r="D200" s="5" t="s">
        <v>14</v>
      </c>
      <c r="E200" s="5" t="s">
        <v>29</v>
      </c>
      <c r="F200" s="5" t="s">
        <v>30</v>
      </c>
      <c r="G200" s="6">
        <v>10100.0</v>
      </c>
      <c r="H200" s="7">
        <v>2.49</v>
      </c>
      <c r="I200" s="8">
        <f t="shared" si="1"/>
        <v>25149</v>
      </c>
      <c r="J200" s="9" t="s">
        <v>17</v>
      </c>
      <c r="K200" s="7">
        <v>25149.0</v>
      </c>
      <c r="L200" s="10">
        <f t="shared" si="2"/>
        <v>0</v>
      </c>
    </row>
    <row r="201" ht="16.5" customHeight="1">
      <c r="A201" s="11">
        <v>46291.0</v>
      </c>
      <c r="B201" s="12" t="s">
        <v>12</v>
      </c>
      <c r="C201" s="12" t="s">
        <v>19</v>
      </c>
      <c r="D201" s="12" t="s">
        <v>20</v>
      </c>
      <c r="E201" s="12" t="s">
        <v>15</v>
      </c>
      <c r="F201" s="12" t="s">
        <v>45</v>
      </c>
      <c r="G201" s="13">
        <v>4600.0</v>
      </c>
      <c r="H201" s="14">
        <v>3.89</v>
      </c>
      <c r="I201" s="15">
        <f t="shared" si="1"/>
        <v>17894</v>
      </c>
      <c r="J201" s="16" t="s">
        <v>17</v>
      </c>
      <c r="K201" s="14">
        <v>17894.0</v>
      </c>
      <c r="L201" s="17">
        <f t="shared" si="2"/>
        <v>0</v>
      </c>
    </row>
  </sheetData>
  <autoFilter ref="$A$1:$L$201"/>
  <customSheetViews>
    <customSheetView guid="{24EA5BAC-0139-4544-9BCB-07C967DB54D5}" filter="1" showAutoFilter="1">
      <autoFilter ref="$A$1:$L$20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14.5"/>
    <col customWidth="1" min="3" max="3" width="24.5"/>
    <col customWidth="1" min="4" max="6" width="15.75"/>
    <col customWidth="1" min="7" max="7" width="3.13"/>
    <col customWidth="1" min="8" max="8" width="22.63"/>
    <col customWidth="1" min="9" max="10" width="18.88"/>
    <col customWidth="1" min="11" max="11" width="16.38"/>
    <col customWidth="1" min="12" max="12" width="15.13"/>
    <col customWidth="1" min="13" max="13" width="18.25"/>
  </cols>
  <sheetData>
    <row r="1" ht="12.0" customHeight="1"/>
    <row r="2" ht="24.0" customHeight="1">
      <c r="B2" s="18" t="s">
        <v>59</v>
      </c>
    </row>
    <row r="3" ht="16.5" customHeight="1">
      <c r="B3" s="19" t="s">
        <v>60</v>
      </c>
    </row>
    <row r="4" ht="21.0" customHeight="1">
      <c r="B4" s="20" t="s">
        <v>61</v>
      </c>
      <c r="C4" s="21"/>
      <c r="D4" s="21"/>
      <c r="E4" s="21"/>
      <c r="F4" s="22"/>
      <c r="G4" s="23"/>
      <c r="H4" s="20" t="s">
        <v>62</v>
      </c>
      <c r="I4" s="21"/>
      <c r="J4" s="21"/>
      <c r="K4" s="22"/>
      <c r="L4" s="23"/>
      <c r="M4" s="23"/>
    </row>
    <row r="5" ht="18.0" customHeight="1">
      <c r="B5" s="24" t="s">
        <v>3</v>
      </c>
      <c r="C5" s="25" t="s">
        <v>8</v>
      </c>
      <c r="D5" s="25" t="s">
        <v>63</v>
      </c>
      <c r="E5" s="25" t="s">
        <v>64</v>
      </c>
      <c r="F5" s="26" t="s">
        <v>65</v>
      </c>
      <c r="G5" s="23"/>
      <c r="H5" s="24" t="s">
        <v>9</v>
      </c>
      <c r="I5" s="25" t="s">
        <v>66</v>
      </c>
      <c r="J5" s="25" t="s">
        <v>67</v>
      </c>
      <c r="K5" s="26" t="s">
        <v>64</v>
      </c>
      <c r="L5" s="23"/>
      <c r="M5" s="23"/>
    </row>
    <row r="6" ht="16.5" customHeight="1">
      <c r="B6" s="27" t="s">
        <v>14</v>
      </c>
      <c r="C6" s="28">
        <f>SUMIF(Sheet1!$D$2:$D$201, B6, Sheet1!$I$2:$I$201)</f>
        <v>3221227</v>
      </c>
      <c r="D6" s="29">
        <f t="shared" ref="D6:D9" si="1">C6/$C$10</f>
        <v>0.7385170074</v>
      </c>
      <c r="E6" s="30">
        <f>SUMIF(Sheet1!$D$2:$D$201, B6, Sheet1!$G$2:$G$201)</f>
        <v>1378300</v>
      </c>
      <c r="F6" s="31">
        <f t="shared" ref="F6:F9" si="2">E6/$E$10</f>
        <v>0.8109841487</v>
      </c>
      <c r="G6" s="23"/>
      <c r="H6" s="27" t="s">
        <v>41</v>
      </c>
      <c r="I6" s="32">
        <f>AVERAGEIFS(Sheet1!$L$2:$L$201, Sheet1!$D$2:$D$201, "Little Debbie", Sheet1!$J$2:$J$201, H6)</f>
        <v>9680.166667</v>
      </c>
      <c r="J6" s="28">
        <f>SUMIFS(Sheet1!$L$2:$L$201, Sheet1!$D$2:$D$201, "Little Debbie", Sheet1!$J$2:$J$201, H6)</f>
        <v>174243</v>
      </c>
      <c r="K6" s="33">
        <f>SUMIFS(Sheet1!$G$2:$G$201, Sheet1!$D$2:$D$201, "Little Debbie", Sheet1!$J$2:$J$201, H6)</f>
        <v>326700</v>
      </c>
      <c r="L6" s="23"/>
      <c r="M6" s="23"/>
    </row>
    <row r="7" ht="16.5" customHeight="1">
      <c r="B7" s="34" t="s">
        <v>20</v>
      </c>
      <c r="C7" s="35">
        <f>SUMIF(Sheet1!$D$2:$D$201, B7, Sheet1!$I$2:$I$201)</f>
        <v>728985.1</v>
      </c>
      <c r="D7" s="36">
        <f t="shared" si="1"/>
        <v>0.1671313119</v>
      </c>
      <c r="E7" s="37">
        <f>SUMIF(Sheet1!$D$2:$D$201, B7, Sheet1!$G$2:$G$201)</f>
        <v>195590</v>
      </c>
      <c r="F7" s="38">
        <f t="shared" si="2"/>
        <v>0.1150840816</v>
      </c>
      <c r="G7" s="23"/>
      <c r="H7" s="34" t="s">
        <v>31</v>
      </c>
      <c r="I7" s="39">
        <f>AVERAGEIFS(Sheet1!$L$2:$L$201, Sheet1!$D$2:$D$201, "Little Debbie", Sheet1!$J$2:$J$201, H7)</f>
        <v>7712.875</v>
      </c>
      <c r="J7" s="35">
        <f>SUMIFS(Sheet1!$L$2:$L$201, Sheet1!$D$2:$D$201, "Little Debbie", Sheet1!$J$2:$J$201, H7)</f>
        <v>123406</v>
      </c>
      <c r="K7" s="40">
        <f>SUMIFS(Sheet1!$G$2:$G$201, Sheet1!$D$2:$D$201, "Little Debbie", Sheet1!$J$2:$J$201, H7)</f>
        <v>255400</v>
      </c>
      <c r="L7" s="23"/>
      <c r="M7" s="23"/>
    </row>
    <row r="8" ht="16.5" customHeight="1">
      <c r="B8" s="27" t="s">
        <v>24</v>
      </c>
      <c r="C8" s="28">
        <f>SUMIF(Sheet1!$D$2:$D$201, B8, Sheet1!$I$2:$I$201)</f>
        <v>323013.5</v>
      </c>
      <c r="D8" s="29">
        <f t="shared" si="1"/>
        <v>0.07405593066</v>
      </c>
      <c r="E8" s="30">
        <f>SUMIF(Sheet1!$D$2:$D$201, B8, Sheet1!$G$2:$G$201)</f>
        <v>78650</v>
      </c>
      <c r="F8" s="31">
        <f t="shared" si="2"/>
        <v>0.04627722796</v>
      </c>
      <c r="G8" s="23"/>
      <c r="H8" s="41" t="s">
        <v>17</v>
      </c>
      <c r="I8" s="42">
        <f>ROUND(AVERAGEIFS(Sheet1!$L$2:$L$201, Sheet1!$D$2:$D$201, "Little Debbie", Sheet1!$J$2:$J$201, H8), 2)</f>
        <v>0</v>
      </c>
      <c r="J8" s="43">
        <f>ROUND(SUMIFS(Sheet1!$L$2:$L$201, Sheet1!$D$2:$D$201, "Little Debbie", Sheet1!$J$2:$J$201, H8), 2)</f>
        <v>0</v>
      </c>
      <c r="K8" s="44">
        <f>SUMIFS(Sheet1!$G$2:$G$201, Sheet1!$D$2:$D$201, "Little Debbie", Sheet1!$J$2:$J$201, H8)</f>
        <v>796200</v>
      </c>
      <c r="L8" s="23"/>
      <c r="M8" s="23"/>
    </row>
    <row r="9" ht="16.5" customHeight="1">
      <c r="B9" s="45" t="s">
        <v>36</v>
      </c>
      <c r="C9" s="46">
        <f>SUMIF(Sheet1!$D$2:$D$201, B9, Sheet1!$I$2:$I$201)</f>
        <v>88525</v>
      </c>
      <c r="D9" s="47">
        <f t="shared" si="1"/>
        <v>0.02029575006</v>
      </c>
      <c r="E9" s="48">
        <f>SUMIF(Sheet1!$D$2:$D$201, B9, Sheet1!$G$2:$G$201)</f>
        <v>47000</v>
      </c>
      <c r="F9" s="49">
        <f t="shared" si="2"/>
        <v>0.02765454182</v>
      </c>
      <c r="G9" s="23"/>
      <c r="H9" s="50" t="s">
        <v>68</v>
      </c>
      <c r="I9" s="51">
        <f>AVERAGEIF(Sheet1!$D$2:$D$201, "Little Debbie", Sheet1!$L$2:$L$201)</f>
        <v>2565.939655</v>
      </c>
      <c r="J9" s="52">
        <f t="shared" ref="J9:K9" si="3">SUM(J6:J8)</f>
        <v>297649</v>
      </c>
      <c r="K9" s="53">
        <f t="shared" si="3"/>
        <v>1378300</v>
      </c>
      <c r="L9" s="23"/>
      <c r="M9" s="23"/>
    </row>
    <row r="10" ht="16.5" customHeight="1">
      <c r="B10" s="50" t="s">
        <v>69</v>
      </c>
      <c r="C10" s="52">
        <f t="shared" ref="C10:F10" si="4">SUM(C6:C9)</f>
        <v>4361750.6</v>
      </c>
      <c r="D10" s="54">
        <f t="shared" si="4"/>
        <v>1</v>
      </c>
      <c r="E10" s="55">
        <f t="shared" si="4"/>
        <v>1699540</v>
      </c>
      <c r="F10" s="56">
        <f t="shared" si="4"/>
        <v>1</v>
      </c>
      <c r="G10" s="23"/>
      <c r="H10" s="23"/>
      <c r="I10" s="23"/>
      <c r="J10" s="23"/>
      <c r="K10" s="23"/>
      <c r="L10" s="23"/>
      <c r="M10" s="23"/>
    </row>
    <row r="11" ht="13.5" customHeight="1"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 ht="13.5" customHeight="1"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</row>
    <row r="13" ht="21.0" customHeight="1">
      <c r="B13" s="20" t="s">
        <v>70</v>
      </c>
      <c r="C13" s="21"/>
      <c r="D13" s="21"/>
      <c r="E13" s="21"/>
      <c r="F13" s="22"/>
      <c r="G13" s="23"/>
      <c r="H13" s="20" t="s">
        <v>71</v>
      </c>
      <c r="I13" s="21"/>
      <c r="J13" s="21"/>
      <c r="K13" s="21"/>
      <c r="L13" s="21"/>
      <c r="M13" s="22"/>
    </row>
    <row r="14" ht="18.0" customHeight="1">
      <c r="B14" s="57" t="s">
        <v>72</v>
      </c>
      <c r="C14" s="58" t="s">
        <v>5</v>
      </c>
      <c r="D14" s="25" t="s">
        <v>8</v>
      </c>
      <c r="E14" s="25" t="s">
        <v>64</v>
      </c>
      <c r="F14" s="26" t="s">
        <v>73</v>
      </c>
      <c r="G14" s="23"/>
      <c r="H14" s="24" t="s">
        <v>2</v>
      </c>
      <c r="I14" s="25" t="s">
        <v>12</v>
      </c>
      <c r="J14" s="25" t="s">
        <v>18</v>
      </c>
      <c r="K14" s="25" t="s">
        <v>22</v>
      </c>
      <c r="L14" s="25" t="s">
        <v>26</v>
      </c>
      <c r="M14" s="26" t="s">
        <v>74</v>
      </c>
    </row>
    <row r="15" ht="16.5" customHeight="1">
      <c r="B15" s="59" t="s">
        <v>75</v>
      </c>
      <c r="C15" s="60" t="str">
        <f>IFERROR(__xludf.DUMMYFUNCTION("QUERY(Sheet1!$D$2:$I$201, ""SELECT F, SUM(I), SUM(G) WHERE D = 'Little Debbie' GROUP BY F ORDER BY SUM(I) DESC LIMIT 5 LABEL F '', SUM(I) '', SUM(G) ''"")"),"Swiss Rolls")</f>
        <v>Swiss Rolls</v>
      </c>
      <c r="D15" s="28">
        <f>IFERROR(__xludf.DUMMYFUNCTION("""COMPUTED_VALUE"""),574713.0)</f>
        <v>574713</v>
      </c>
      <c r="E15" s="30">
        <f>IFERROR(__xludf.DUMMYFUNCTION("""COMPUTED_VALUE"""),248700.0)</f>
        <v>248700</v>
      </c>
      <c r="F15" s="31">
        <f t="shared" ref="F15:F19" si="5">D15/$C$6</f>
        <v>0.1784143123</v>
      </c>
      <c r="G15" s="23"/>
      <c r="H15" s="27" t="s">
        <v>13</v>
      </c>
      <c r="I15" s="28">
        <f>SUMIFS(Sheet1!$I$2:$I$201, Sheet1!$C$2:$C$201, $H15, Sheet1!$B$2:$B$201, I$14)</f>
        <v>1860656.5</v>
      </c>
      <c r="J15" s="28">
        <f>SUMIFS(Sheet1!$I$2:$I$201, Sheet1!$C$2:$C$201, $H15, Sheet1!$B$2:$B$201, J$14)</f>
        <v>859856.5</v>
      </c>
      <c r="K15" s="28">
        <f>SUMIFS(Sheet1!$I$2:$I$201, Sheet1!$C$2:$C$201, $H15, Sheet1!$B$2:$B$201, K$14)</f>
        <v>206160</v>
      </c>
      <c r="L15" s="28">
        <f>SUMIFS(Sheet1!$I$2:$I$201, Sheet1!$C$2:$C$201, $H15, Sheet1!$B$2:$B$201, L$14)</f>
        <v>179411</v>
      </c>
      <c r="M15" s="61">
        <f t="shared" ref="M15:M18" si="6">SUM(I15:L15)</f>
        <v>3106084</v>
      </c>
    </row>
    <row r="16" ht="16.5" customHeight="1">
      <c r="B16" s="62" t="s">
        <v>76</v>
      </c>
      <c r="C16" s="63" t="str">
        <f>IFERROR(__xludf.DUMMYFUNCTION("""COMPUTED_VALUE"""),"Oatmeal Cream Pies")</f>
        <v>Oatmeal Cream Pies</v>
      </c>
      <c r="D16" s="35">
        <f>IFERROR(__xludf.DUMMYFUNCTION("""COMPUTED_VALUE"""),470920.5)</f>
        <v>470920.5</v>
      </c>
      <c r="E16" s="37">
        <f>IFERROR(__xludf.DUMMYFUNCTION("""COMPUTED_VALUE"""),195450.0)</f>
        <v>195450</v>
      </c>
      <c r="F16" s="38">
        <f t="shared" si="5"/>
        <v>0.1461928948</v>
      </c>
      <c r="G16" s="23"/>
      <c r="H16" s="34" t="s">
        <v>19</v>
      </c>
      <c r="I16" s="35">
        <f>SUMIFS(Sheet1!$I$2:$I$201, Sheet1!$C$2:$C$201, $H16, Sheet1!$B$2:$B$201, I$14)</f>
        <v>289090</v>
      </c>
      <c r="J16" s="35">
        <f>SUMIFS(Sheet1!$I$2:$I$201, Sheet1!$C$2:$C$201, $H16, Sheet1!$B$2:$B$201, J$14)</f>
        <v>272038.3</v>
      </c>
      <c r="K16" s="35">
        <f>SUMIFS(Sheet1!$I$2:$I$201, Sheet1!$C$2:$C$201, $H16, Sheet1!$B$2:$B$201, K$14)</f>
        <v>165085.5</v>
      </c>
      <c r="L16" s="35">
        <f>SUMIFS(Sheet1!$I$2:$I$201, Sheet1!$C$2:$C$201, $H16, Sheet1!$B$2:$B$201, L$14)</f>
        <v>17641</v>
      </c>
      <c r="M16" s="64">
        <f t="shared" si="6"/>
        <v>743854.8</v>
      </c>
    </row>
    <row r="17" ht="16.5" customHeight="1">
      <c r="B17" s="59" t="s">
        <v>77</v>
      </c>
      <c r="C17" s="60" t="str">
        <f>IFERROR(__xludf.DUMMYFUNCTION("""COMPUTED_VALUE"""),"Red White &amp; Blue Cakes")</f>
        <v>Red White &amp; Blue Cakes</v>
      </c>
      <c r="D17" s="28">
        <f>IFERROR(__xludf.DUMMYFUNCTION("""COMPUTED_VALUE"""),316139.0)</f>
        <v>316139</v>
      </c>
      <c r="E17" s="30">
        <f>IFERROR(__xludf.DUMMYFUNCTION("""COMPUTED_VALUE"""),139100.0)</f>
        <v>139100</v>
      </c>
      <c r="F17" s="31">
        <f t="shared" si="5"/>
        <v>0.09814241592</v>
      </c>
      <c r="G17" s="23"/>
      <c r="H17" s="27" t="s">
        <v>23</v>
      </c>
      <c r="I17" s="28">
        <f>SUMIFS(Sheet1!$I$2:$I$201, Sheet1!$C$2:$C$201, $H17, Sheet1!$B$2:$B$201, I$14)</f>
        <v>162375</v>
      </c>
      <c r="J17" s="28">
        <f>SUMIFS(Sheet1!$I$2:$I$201, Sheet1!$C$2:$C$201, $H17, Sheet1!$B$2:$B$201, J$14)</f>
        <v>0</v>
      </c>
      <c r="K17" s="28">
        <f>SUMIFS(Sheet1!$I$2:$I$201, Sheet1!$C$2:$C$201, $H17, Sheet1!$B$2:$B$201, K$14)</f>
        <v>94126.8</v>
      </c>
      <c r="L17" s="28">
        <f>SUMIFS(Sheet1!$I$2:$I$201, Sheet1!$C$2:$C$201, $H17, Sheet1!$B$2:$B$201, L$14)</f>
        <v>55739</v>
      </c>
      <c r="M17" s="61">
        <f t="shared" si="6"/>
        <v>312240.8</v>
      </c>
    </row>
    <row r="18" ht="16.5" customHeight="1">
      <c r="B18" s="62" t="s">
        <v>78</v>
      </c>
      <c r="C18" s="63" t="str">
        <f>IFERROR(__xludf.DUMMYFUNCTION("""COMPUTED_VALUE"""),"Cosmic Brownies")</f>
        <v>Cosmic Brownies</v>
      </c>
      <c r="D18" s="35">
        <f>IFERROR(__xludf.DUMMYFUNCTION("""COMPUTED_VALUE"""),303837.0)</f>
        <v>303837</v>
      </c>
      <c r="E18" s="37">
        <f>IFERROR(__xludf.DUMMYFUNCTION("""COMPUTED_VALUE"""),126300.0)</f>
        <v>126300</v>
      </c>
      <c r="F18" s="38">
        <f t="shared" si="5"/>
        <v>0.09432337429</v>
      </c>
      <c r="G18" s="23"/>
      <c r="H18" s="45" t="s">
        <v>35</v>
      </c>
      <c r="I18" s="46">
        <f>SUMIFS(Sheet1!$I$2:$I$201, Sheet1!$C$2:$C$201, $H18, Sheet1!$B$2:$B$201, I$14)</f>
        <v>115391.5</v>
      </c>
      <c r="J18" s="46">
        <f>SUMIFS(Sheet1!$I$2:$I$201, Sheet1!$C$2:$C$201, $H18, Sheet1!$B$2:$B$201, J$14)</f>
        <v>0</v>
      </c>
      <c r="K18" s="46">
        <f>SUMIFS(Sheet1!$I$2:$I$201, Sheet1!$C$2:$C$201, $H18, Sheet1!$B$2:$B$201, K$14)</f>
        <v>70159</v>
      </c>
      <c r="L18" s="46">
        <f>SUMIFS(Sheet1!$I$2:$I$201, Sheet1!$C$2:$C$201, $H18, Sheet1!$B$2:$B$201, L$14)</f>
        <v>14020.5</v>
      </c>
      <c r="M18" s="65">
        <f t="shared" si="6"/>
        <v>199571</v>
      </c>
    </row>
    <row r="19" ht="16.5" customHeight="1">
      <c r="B19" s="66" t="s">
        <v>79</v>
      </c>
      <c r="C19" s="67" t="str">
        <f>IFERROR(__xludf.DUMMYFUNCTION("""COMPUTED_VALUE"""),"Zebra Cakes")</f>
        <v>Zebra Cakes</v>
      </c>
      <c r="D19" s="68">
        <f>IFERROR(__xludf.DUMMYFUNCTION("""COMPUTED_VALUE"""),293725.0)</f>
        <v>293725</v>
      </c>
      <c r="E19" s="69">
        <f>IFERROR(__xludf.DUMMYFUNCTION("""COMPUTED_VALUE"""),124500.0)</f>
        <v>124500</v>
      </c>
      <c r="F19" s="70">
        <f t="shared" si="5"/>
        <v>0.09118419782</v>
      </c>
      <c r="G19" s="23"/>
      <c r="H19" s="50" t="s">
        <v>80</v>
      </c>
      <c r="I19" s="52">
        <f t="shared" ref="I19:M19" si="7">SUM(I15:I18)</f>
        <v>2427513</v>
      </c>
      <c r="J19" s="52">
        <f t="shared" si="7"/>
        <v>1131894.8</v>
      </c>
      <c r="K19" s="52">
        <f t="shared" si="7"/>
        <v>535531.3</v>
      </c>
      <c r="L19" s="52">
        <f t="shared" si="7"/>
        <v>266811.5</v>
      </c>
      <c r="M19" s="71">
        <f t="shared" si="7"/>
        <v>4361750.6</v>
      </c>
    </row>
  </sheetData>
  <mergeCells count="4">
    <mergeCell ref="B4:F4"/>
    <mergeCell ref="H4:K4"/>
    <mergeCell ref="B13:F13"/>
    <mergeCell ref="H13:M13"/>
  </mergeCells>
  <drawing r:id="rId1"/>
</worksheet>
</file>